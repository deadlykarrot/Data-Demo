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 defaultThemeVersion="124226"/>
  <mc:AlternateContent xmlns:mc="http://schemas.openxmlformats.org/markup-compatibility/2006">
    <mc:Choice Requires="x15">
      <x15ac:absPath xmlns:x15ac="http://schemas.microsoft.com/office/spreadsheetml/2010/11/ac" url="Q:\CP RESULTS\2021\"/>
    </mc:Choice>
  </mc:AlternateContent>
  <xr:revisionPtr revIDLastSave="0" documentId="13_ncr:1_{977B9FA0-3E1D-43E1-B53D-906C1D1D16ED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2021 4CP CALCULATION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38" i="4" l="1"/>
  <c r="H139" i="4"/>
  <c r="H140" i="4"/>
  <c r="H141" i="4"/>
  <c r="G143" i="4"/>
  <c r="E143" i="4"/>
  <c r="F143" i="4"/>
  <c r="D143" i="4"/>
  <c r="H136" i="4"/>
  <c r="H137" i="4"/>
  <c r="H15" i="4" l="1"/>
  <c r="H111" i="4"/>
  <c r="H32" i="4" l="1"/>
  <c r="H128" i="4" l="1"/>
  <c r="H122" i="4"/>
  <c r="H121" i="4"/>
  <c r="H120" i="4"/>
  <c r="H117" i="4"/>
  <c r="H116" i="4"/>
  <c r="H115" i="4"/>
  <c r="H114" i="4"/>
  <c r="H109" i="4"/>
  <c r="H108" i="4"/>
  <c r="H107" i="4"/>
  <c r="H106" i="4"/>
  <c r="H101" i="4"/>
  <c r="H100" i="4"/>
  <c r="H99" i="4"/>
  <c r="H98" i="4"/>
  <c r="H93" i="4"/>
  <c r="H91" i="4"/>
  <c r="H86" i="4"/>
  <c r="H84" i="4"/>
  <c r="H83" i="4"/>
  <c r="H77" i="4"/>
  <c r="H76" i="4"/>
  <c r="H75" i="4"/>
  <c r="H70" i="4"/>
  <c r="H69" i="4"/>
  <c r="H68" i="4"/>
  <c r="H67" i="4"/>
  <c r="H61" i="4"/>
  <c r="H60" i="4"/>
  <c r="H59" i="4"/>
  <c r="H51" i="4"/>
  <c r="H38" i="4"/>
  <c r="H36" i="4"/>
  <c r="H35" i="4"/>
  <c r="H28" i="4"/>
  <c r="H27" i="4"/>
  <c r="H26" i="4"/>
  <c r="H21" i="4"/>
  <c r="H20" i="4"/>
  <c r="H19" i="4"/>
  <c r="H18" i="4"/>
  <c r="H11" i="4"/>
  <c r="H130" i="4"/>
  <c r="H129" i="4"/>
  <c r="H85" i="4"/>
  <c r="H52" i="4"/>
  <c r="H37" i="4"/>
  <c r="H4" i="4"/>
  <c r="H78" i="4"/>
  <c r="H113" i="4"/>
  <c r="H123" i="4"/>
  <c r="H112" i="4"/>
  <c r="H73" i="4"/>
  <c r="H89" i="4"/>
  <c r="H135" i="4"/>
  <c r="H132" i="4"/>
  <c r="H124" i="4"/>
  <c r="H88" i="4"/>
  <c r="H133" i="4"/>
  <c r="H131" i="4"/>
  <c r="H118" i="4"/>
  <c r="H102" i="4"/>
  <c r="H95" i="4"/>
  <c r="H81" i="4"/>
  <c r="H72" i="4"/>
  <c r="H41" i="4"/>
  <c r="H34" i="4"/>
  <c r="H30" i="4"/>
  <c r="H23" i="4"/>
  <c r="H22" i="4"/>
  <c r="H17" i="4"/>
  <c r="H16" i="4"/>
  <c r="H12" i="4"/>
  <c r="H134" i="4"/>
  <c r="H127" i="4"/>
  <c r="H126" i="4"/>
  <c r="H119" i="4"/>
  <c r="H110" i="4"/>
  <c r="H105" i="4"/>
  <c r="H104" i="4"/>
  <c r="H103" i="4"/>
  <c r="H97" i="4"/>
  <c r="H96" i="4"/>
  <c r="H94" i="4"/>
  <c r="H92" i="4"/>
  <c r="H90" i="4"/>
  <c r="H87" i="4"/>
  <c r="H82" i="4"/>
  <c r="H80" i="4"/>
  <c r="H79" i="4"/>
  <c r="H74" i="4"/>
  <c r="H71" i="4"/>
  <c r="H66" i="4"/>
  <c r="H65" i="4"/>
  <c r="H64" i="4"/>
  <c r="H63" i="4"/>
  <c r="H62" i="4"/>
  <c r="H58" i="4"/>
  <c r="H57" i="4"/>
  <c r="H56" i="4"/>
  <c r="H55" i="4"/>
  <c r="H54" i="4"/>
  <c r="H53" i="4"/>
  <c r="H50" i="4"/>
  <c r="H49" i="4"/>
  <c r="H48" i="4"/>
  <c r="H47" i="4"/>
  <c r="H46" i="4"/>
  <c r="H45" i="4"/>
  <c r="H44" i="4"/>
  <c r="H43" i="4"/>
  <c r="H42" i="4"/>
  <c r="H40" i="4"/>
  <c r="H39" i="4"/>
  <c r="H33" i="4"/>
  <c r="H31" i="4"/>
  <c r="H29" i="4"/>
  <c r="H25" i="4"/>
  <c r="H24" i="4"/>
  <c r="H14" i="4"/>
  <c r="H10" i="4"/>
  <c r="H9" i="4"/>
  <c r="H8" i="4"/>
  <c r="H7" i="4"/>
  <c r="H6" i="4"/>
  <c r="H5" i="4"/>
  <c r="H125" i="4"/>
  <c r="H13" i="4"/>
  <c r="H143" i="4" l="1"/>
  <c r="I15" i="4" l="1"/>
  <c r="I140" i="4"/>
  <c r="I139" i="4"/>
  <c r="I141" i="4"/>
  <c r="I138" i="4"/>
  <c r="I42" i="4"/>
  <c r="I72" i="4"/>
  <c r="I69" i="4"/>
  <c r="I118" i="4"/>
  <c r="I71" i="4"/>
  <c r="I37" i="4"/>
  <c r="I36" i="4"/>
  <c r="I87" i="4"/>
  <c r="I19" i="4"/>
  <c r="I131" i="4"/>
  <c r="I76" i="4"/>
  <c r="I16" i="4"/>
  <c r="I14" i="4"/>
  <c r="I128" i="4"/>
  <c r="I75" i="4"/>
  <c r="I125" i="4"/>
  <c r="I90" i="4"/>
  <c r="I67" i="4"/>
  <c r="I106" i="4"/>
  <c r="I23" i="4"/>
  <c r="I111" i="4"/>
  <c r="I39" i="4"/>
  <c r="I101" i="4"/>
  <c r="I43" i="4"/>
  <c r="I109" i="4"/>
  <c r="I93" i="4"/>
  <c r="I24" i="4"/>
  <c r="I123" i="4"/>
  <c r="I61" i="4"/>
  <c r="I96" i="4"/>
  <c r="I83" i="4"/>
  <c r="I103" i="4"/>
  <c r="I110" i="4"/>
  <c r="I88" i="4"/>
  <c r="I65" i="4"/>
  <c r="I94" i="4"/>
  <c r="I68" i="4"/>
  <c r="I97" i="4"/>
  <c r="I26" i="4"/>
  <c r="I59" i="4"/>
  <c r="I32" i="4"/>
  <c r="I46" i="4"/>
  <c r="I107" i="4"/>
  <c r="I51" i="4"/>
  <c r="I112" i="4"/>
  <c r="I62" i="4"/>
  <c r="I135" i="4"/>
  <c r="I63" i="4"/>
  <c r="I134" i="4"/>
  <c r="I31" i="4"/>
  <c r="I54" i="4"/>
  <c r="I99" i="4"/>
  <c r="I70" i="4"/>
  <c r="I53" i="4"/>
  <c r="I35" i="4"/>
  <c r="I78" i="4"/>
  <c r="I58" i="4"/>
  <c r="I41" i="4"/>
  <c r="I47" i="4"/>
  <c r="I5" i="4"/>
  <c r="I133" i="4"/>
  <c r="I13" i="4"/>
  <c r="I116" i="4"/>
  <c r="I74" i="4"/>
  <c r="I86" i="4"/>
  <c r="I119" i="4"/>
  <c r="I117" i="4"/>
  <c r="I56" i="4"/>
  <c r="I98" i="4"/>
  <c r="I20" i="4"/>
  <c r="I9" i="4"/>
  <c r="I44" i="4"/>
  <c r="I40" i="4"/>
  <c r="I124" i="4"/>
  <c r="I132" i="4"/>
  <c r="I50" i="4"/>
  <c r="I81" i="4"/>
  <c r="I8" i="4"/>
  <c r="I137" i="4"/>
  <c r="I7" i="4"/>
  <c r="I108" i="4"/>
  <c r="I121" i="4"/>
  <c r="I79" i="4"/>
  <c r="I25" i="4"/>
  <c r="I11" i="4"/>
  <c r="I129" i="4"/>
  <c r="I57" i="4"/>
  <c r="I52" i="4"/>
  <c r="I18" i="4"/>
  <c r="I55" i="4"/>
  <c r="I66" i="4"/>
  <c r="I21" i="4"/>
  <c r="I120" i="4"/>
  <c r="I113" i="4"/>
  <c r="I126" i="4"/>
  <c r="I100" i="4"/>
  <c r="I6" i="4"/>
  <c r="I89" i="4"/>
  <c r="I12" i="4"/>
  <c r="I80" i="4"/>
  <c r="I127" i="4"/>
  <c r="I17" i="4"/>
  <c r="I105" i="4"/>
  <c r="I22" i="4"/>
  <c r="I4" i="4"/>
  <c r="I73" i="4"/>
  <c r="I29" i="4"/>
  <c r="I92" i="4"/>
  <c r="I27" i="4"/>
  <c r="I28" i="4"/>
  <c r="I102" i="4"/>
  <c r="I91" i="4"/>
  <c r="I48" i="4"/>
  <c r="I122" i="4"/>
  <c r="I60" i="4"/>
  <c r="I136" i="4"/>
  <c r="I49" i="4"/>
  <c r="I10" i="4"/>
  <c r="I38" i="4"/>
  <c r="I45" i="4"/>
  <c r="I34" i="4"/>
  <c r="I95" i="4"/>
  <c r="I104" i="4"/>
  <c r="I115" i="4"/>
  <c r="I64" i="4"/>
  <c r="I30" i="4"/>
  <c r="I82" i="4"/>
  <c r="I130" i="4"/>
  <c r="I85" i="4"/>
  <c r="I114" i="4"/>
  <c r="I84" i="4"/>
  <c r="I77" i="4"/>
  <c r="I33" i="4"/>
  <c r="I143" i="4" l="1"/>
</calcChain>
</file>

<file path=xl/sharedStrings.xml><?xml version="1.0" encoding="utf-8"?>
<sst xmlns="http://schemas.openxmlformats.org/spreadsheetml/2006/main" count="288" uniqueCount="288">
  <si>
    <t>Load Ratio Share</t>
  </si>
  <si>
    <t>CENTERPOINT ENERGY HOUSTON ELECTRIC LLC (TDSP)</t>
  </si>
  <si>
    <t>957877905</t>
  </si>
  <si>
    <t>1039940674000</t>
  </si>
  <si>
    <t>TEXAS-NEW MEXICO POWER CO (TDSP)</t>
  </si>
  <si>
    <t>007929441</t>
  </si>
  <si>
    <t>007924772</t>
  </si>
  <si>
    <t>007923311</t>
  </si>
  <si>
    <t>BANDERA ELECTRIC CO OP INC (TDSP)</t>
  </si>
  <si>
    <t>0089451494000</t>
  </si>
  <si>
    <t>002781813</t>
  </si>
  <si>
    <t>BIG COUNTRY ELECTRIC CO OP INC (TDSP)</t>
  </si>
  <si>
    <t>0058630484000</t>
  </si>
  <si>
    <t>BLUEBONNET ELECTRIC CO OP INC (TDSP)</t>
  </si>
  <si>
    <t>0524834354000</t>
  </si>
  <si>
    <t>0037722904000</t>
  </si>
  <si>
    <t>CENTRAL TEXAS ELECTRIC CO OP INC (TDSP)</t>
  </si>
  <si>
    <t>0079302744000</t>
  </si>
  <si>
    <t>CITY OF BASTROP (TDSP)</t>
  </si>
  <si>
    <t>0851553724000</t>
  </si>
  <si>
    <t>CITY OF BELLVILLE (TDSP)</t>
  </si>
  <si>
    <t>0935648704000</t>
  </si>
  <si>
    <t>CITY OF BOERNE (TDSP)</t>
  </si>
  <si>
    <t>0052470694000</t>
  </si>
  <si>
    <t>CITY OF BRENHAM (TDSP)</t>
  </si>
  <si>
    <t>0741649224000</t>
  </si>
  <si>
    <t>CITY OF BRIDGEPORT MUN ELEC SYS (TDSP)</t>
  </si>
  <si>
    <t>0842801714000</t>
  </si>
  <si>
    <t>CITY OF BURNET (TDSP)</t>
  </si>
  <si>
    <t>0746121514000</t>
  </si>
  <si>
    <t>CITY OF CUERO (TDSP)</t>
  </si>
  <si>
    <t>0526842144000</t>
  </si>
  <si>
    <t>CITY OF FLATONIA (TDSP)</t>
  </si>
  <si>
    <t>0626890134000</t>
  </si>
  <si>
    <t>CITY OF FREDERICKSBURG (TDSP)</t>
  </si>
  <si>
    <t>0769243074000</t>
  </si>
  <si>
    <t>CITY OF GEORGETOWN (TDSP)</t>
  </si>
  <si>
    <t>0895923724000</t>
  </si>
  <si>
    <t>CITY OF GIDDINGS (TDSP)</t>
  </si>
  <si>
    <t>0096899514000</t>
  </si>
  <si>
    <t>CITY OF GOLDTHWAITE (TDSP)</t>
  </si>
  <si>
    <t>1558252764000</t>
  </si>
  <si>
    <t>CITY OF GONZALES (TDSP)</t>
  </si>
  <si>
    <t>0937385404000</t>
  </si>
  <si>
    <t>CITY OF HALLETTSVILLE (TDSP)</t>
  </si>
  <si>
    <t>0090811834000</t>
  </si>
  <si>
    <t>CITY OF HEMPSTEAD (TDSP)</t>
  </si>
  <si>
    <t>1272175604000</t>
  </si>
  <si>
    <t>CITY OF LA GRANGE (TDSP)</t>
  </si>
  <si>
    <t>0607085184000</t>
  </si>
  <si>
    <t>CITY OF LAMPASAS (TDSP)</t>
  </si>
  <si>
    <t>0203311204000</t>
  </si>
  <si>
    <t>CITY OF LEXINGTON (TDSP)</t>
  </si>
  <si>
    <t>0081817324000</t>
  </si>
  <si>
    <t>CITY OF LLANO (TDSP)</t>
  </si>
  <si>
    <t>0916952054000</t>
  </si>
  <si>
    <t>CITY OF LOCKHART (TDSP)</t>
  </si>
  <si>
    <t>0746168634000</t>
  </si>
  <si>
    <t>CITY OF LULING (TDSP)</t>
  </si>
  <si>
    <t>0105539984000</t>
  </si>
  <si>
    <t>CITY OF MASON (TDSP)</t>
  </si>
  <si>
    <t>1561267084000</t>
  </si>
  <si>
    <t>CITY OF MOULTON (TDSP)</t>
  </si>
  <si>
    <t>0091871544000</t>
  </si>
  <si>
    <t>CITY OF SAN MARCOS (TDSP)</t>
  </si>
  <si>
    <t>0694628694000</t>
  </si>
  <si>
    <t>CITY OF SAN SABA (TDSP)</t>
  </si>
  <si>
    <t>0248592254000</t>
  </si>
  <si>
    <t>CITY OF SANGER</t>
  </si>
  <si>
    <t>058956020</t>
  </si>
  <si>
    <t>CITY OF SCHULENBURG (TDSP)</t>
  </si>
  <si>
    <t>0532950364000</t>
  </si>
  <si>
    <t>CITY OF SEGUIN (TDSP)</t>
  </si>
  <si>
    <t>0862819794000</t>
  </si>
  <si>
    <t>166319145</t>
  </si>
  <si>
    <t>CITY OF SHINER (TDSP)</t>
  </si>
  <si>
    <t>1504533714000</t>
  </si>
  <si>
    <t>CITY OF SMITHVILLE (TDSP)</t>
  </si>
  <si>
    <t>0916978134000</t>
  </si>
  <si>
    <t>CITY OF WAELDER (TDSP)</t>
  </si>
  <si>
    <t>0541779694000</t>
  </si>
  <si>
    <t>CITY OF WEIMAR (TDSP)</t>
  </si>
  <si>
    <t>0214974584000</t>
  </si>
  <si>
    <t>134546522</t>
  </si>
  <si>
    <t>CITY OF YOAKUM (TDSP)</t>
  </si>
  <si>
    <t>0694557724000</t>
  </si>
  <si>
    <t>COLEMAN COUNTY ELECTRIC CO OP INC (TDSP)</t>
  </si>
  <si>
    <t>0079246734000</t>
  </si>
  <si>
    <t>002889210</t>
  </si>
  <si>
    <t>CONCHO VALLEY ELECTRIC CO OP INC (TDSP)</t>
  </si>
  <si>
    <t>0038666624000</t>
  </si>
  <si>
    <t>008951808</t>
  </si>
  <si>
    <t>047845623</t>
  </si>
  <si>
    <t>008947913</t>
  </si>
  <si>
    <t>FANNIN COUNTY ELECTRIC CO OP INC</t>
  </si>
  <si>
    <t>0018220894000</t>
  </si>
  <si>
    <t>FARMERS ELECTRIC CO OP INC DBA FEC ELECTRIC</t>
  </si>
  <si>
    <t>0098442344000</t>
  </si>
  <si>
    <t>FAYETTE ELECTRIC CO OP INC (TDSP)</t>
  </si>
  <si>
    <t>0593309774000</t>
  </si>
  <si>
    <t>FORT BELKNAP ELECTRIC CO OP INC (TDSP)</t>
  </si>
  <si>
    <t>007935299</t>
  </si>
  <si>
    <t>GRANBURY MUNICIPAL UTILITIES (TDSP)</t>
  </si>
  <si>
    <t>0952141694000</t>
  </si>
  <si>
    <t>008953812</t>
  </si>
  <si>
    <t>GUADALUPE VALLEY ELECTRIC CO OP INC (TDSP)</t>
  </si>
  <si>
    <t>0079305894000</t>
  </si>
  <si>
    <t>008949216</t>
  </si>
  <si>
    <t>HILCO ELECTRIC CO OP INC (TDSP)</t>
  </si>
  <si>
    <t>008950545</t>
  </si>
  <si>
    <t>005777206</t>
  </si>
  <si>
    <t>003890795</t>
  </si>
  <si>
    <t>007933518</t>
  </si>
  <si>
    <t>KERRVILLE PUBLIC UTILITY BOARD (TDSP)</t>
  </si>
  <si>
    <t>1248248064000</t>
  </si>
  <si>
    <t>LAMAR COUNTY ELEC COOP DBA LEC (TDSP)</t>
  </si>
  <si>
    <t>0048060974000</t>
  </si>
  <si>
    <t>LIGHTHOUSE ELECTRIC CO OP (TDSP)</t>
  </si>
  <si>
    <t>0028252894000</t>
  </si>
  <si>
    <t>LYNTEGAR ELECTRIC CO OP INC (TDSP)</t>
  </si>
  <si>
    <t>0079371474000</t>
  </si>
  <si>
    <t>MAGIC VALLEY ELECTRIC CO OP INC (TDSP)</t>
  </si>
  <si>
    <t>008951501</t>
  </si>
  <si>
    <t>MID SOUTH ELECTRIC CO OP ASSOC</t>
  </si>
  <si>
    <t>061278594</t>
  </si>
  <si>
    <t>006770101</t>
  </si>
  <si>
    <t>046299913</t>
  </si>
  <si>
    <t>NEW BRAUNFELS UTILITIES (TDSP)</t>
  </si>
  <si>
    <t>0383461694000</t>
  </si>
  <si>
    <t>PEDERNALES ELECTRIC CO OP INC (TDSP)</t>
  </si>
  <si>
    <t>0079241114000</t>
  </si>
  <si>
    <t>SAM HOUSTON ELECTRIC CO OP INC (TDSP)</t>
  </si>
  <si>
    <t>056267867</t>
  </si>
  <si>
    <t>SAN BERNARD ELECTRIC CO OP (TDSP)</t>
  </si>
  <si>
    <t>0089453134000</t>
  </si>
  <si>
    <t>SOUTH PLAINS ELECTRIC CO OP INC (TDSP)</t>
  </si>
  <si>
    <t>007934185</t>
  </si>
  <si>
    <t>SOUTHWEST TEXAS ELECTRIC CO OP INC (TDSP)</t>
  </si>
  <si>
    <t>0084158954000</t>
  </si>
  <si>
    <t>008945123</t>
  </si>
  <si>
    <t>009844564</t>
  </si>
  <si>
    <t>008945826</t>
  </si>
  <si>
    <t>041405408</t>
  </si>
  <si>
    <t>6063470374000</t>
  </si>
  <si>
    <t>BRYAN TEXAS UTILITIES (TDSP)</t>
  </si>
  <si>
    <t>0793907794000</t>
  </si>
  <si>
    <t>008862625</t>
  </si>
  <si>
    <t>CITY OF AUSTIN DBA AUSTIN ENERGY (TDSP)</t>
  </si>
  <si>
    <t>8008717664000</t>
  </si>
  <si>
    <t>CITY OF BOWIE (TDSP)</t>
  </si>
  <si>
    <t>8094182964000</t>
  </si>
  <si>
    <t>CITY OF BRADY (TDSP)</t>
  </si>
  <si>
    <t>070804877</t>
  </si>
  <si>
    <t>CITY OF COLEMAN (TDSP)</t>
  </si>
  <si>
    <t>1024920064000</t>
  </si>
  <si>
    <t>CITY OF COLLEGE STATION (TDSP)</t>
  </si>
  <si>
    <t>0403303004000</t>
  </si>
  <si>
    <t>CITY OF GARLAND (TDSP)</t>
  </si>
  <si>
    <t>6011012564000</t>
  </si>
  <si>
    <t>CITY OF GOLDSMITH (TDSP)</t>
  </si>
  <si>
    <t>0888946704000</t>
  </si>
  <si>
    <t>CITY OF HEARNE MUNICIPAL ELECTRIC SYSTEM (TDSP)</t>
  </si>
  <si>
    <t>0897458894000</t>
  </si>
  <si>
    <t>CITY OF ROBSTOWN UTILITY SYSTEM (TDSP)</t>
  </si>
  <si>
    <t>9387911424000</t>
  </si>
  <si>
    <t>0079360734000</t>
  </si>
  <si>
    <t>DENTON MUNICIPAL ELECTRIC (TDSP)</t>
  </si>
  <si>
    <t>GEUS (TDSP)</t>
  </si>
  <si>
    <t>8062449354000</t>
  </si>
  <si>
    <t>078423555</t>
  </si>
  <si>
    <t>006824106</t>
  </si>
  <si>
    <t>MEDINA ELECTRIC CO OP INC (TDSP) STEC</t>
  </si>
  <si>
    <t>0081378124000</t>
  </si>
  <si>
    <t>SAN MIGUEL ELECTRIC CO OP INC (TDSP)</t>
  </si>
  <si>
    <t>0884848524000</t>
  </si>
  <si>
    <t>SAN PATRICIO ELECTRIC CO OP (TDSP)</t>
  </si>
  <si>
    <t>003864907</t>
  </si>
  <si>
    <t>0038663324000</t>
  </si>
  <si>
    <t>008953861</t>
  </si>
  <si>
    <t>WEATHERFORD MUNICIPAL UTILITY SYSTEM (TDSP)</t>
  </si>
  <si>
    <t>0817196274000</t>
  </si>
  <si>
    <t>118487958</t>
  </si>
  <si>
    <t>0089492164100</t>
  </si>
  <si>
    <t>PEDERNALES ELEC CO OP INC AEP (TDSP)</t>
  </si>
  <si>
    <t>0079241114100</t>
  </si>
  <si>
    <t>TAYLOR ELECTRIC CO OP INC ABILENE (TDSP)</t>
  </si>
  <si>
    <t>0079344254100</t>
  </si>
  <si>
    <t>WESTERN FARMERS ELECTRIC COOPERATIVE (TDSP)</t>
  </si>
  <si>
    <t>0728624074000</t>
  </si>
  <si>
    <t>0088288574800</t>
  </si>
  <si>
    <t>Total</t>
  </si>
  <si>
    <t>Average 4CP Load</t>
  </si>
  <si>
    <t>TDSP Code</t>
  </si>
  <si>
    <t>Load Entity Name</t>
  </si>
  <si>
    <t>WOOD COUNTY ELECTRIC COOPERATIVE INC (TDSP)</t>
  </si>
  <si>
    <t>008952491</t>
  </si>
  <si>
    <t>HEART OF TEXAS ELECTRIC COOPERATIVE INC (DSP)</t>
  </si>
  <si>
    <t>012074558</t>
  </si>
  <si>
    <t>ONCOR ELECTRIC DELIVERY COMPANY LLC (TDSP)</t>
  </si>
  <si>
    <t>BRAZOS ELECTRIC POWER CO OP INC (TDSP)</t>
  </si>
  <si>
    <t>BROWNSVILLE PUBLIC UTILITIES BOARD (TDSP)</t>
  </si>
  <si>
    <t>CPS ENERGY (TDSP)</t>
  </si>
  <si>
    <t>0713801904000</t>
  </si>
  <si>
    <t>0098445644000</t>
  </si>
  <si>
    <t>0089538124000</t>
  </si>
  <si>
    <t>LAMAR COUNTY ELEC COOP DBA LEC RC HOUPL (TDSP)</t>
  </si>
  <si>
    <t>0048060974100</t>
  </si>
  <si>
    <t>TRINITY VALLEY ELECTRIC COOPERATIVE INC LPL (TDSP)</t>
  </si>
  <si>
    <t>AEP TEXAS CENTRAL COMPANY (TDSP)</t>
  </si>
  <si>
    <t>AEP TEXAS NORTH COMPANY (TDSP)</t>
  </si>
  <si>
    <t>BARTLETT ELECTRIC CO OP INC (TDSP)</t>
  </si>
  <si>
    <t>CITY OF SEYMOUR (TDSP)</t>
  </si>
  <si>
    <t>CITY OF WHITESBORO (TDSP)</t>
  </si>
  <si>
    <t>COMANCHE ELECTRIC CO OP ASSOCIATION (TDSP)</t>
  </si>
  <si>
    <t>COOKE COUNTY ELECTRIC CO OP ASSOC INC (TDSP)</t>
  </si>
  <si>
    <t>DEEP EAST TEXAS ELECTRIC CO OP INC (TDSP)</t>
  </si>
  <si>
    <t>DENTON COUNTY ELEC CO OP DBA COSERVE ELEC (TDSP)</t>
  </si>
  <si>
    <t>HAMILTON COUNTY ELECTRIC CO OP (BRAZOS) (TDSP)</t>
  </si>
  <si>
    <t>HOUSTON COUNTY ELEC COOP INC (TDSP)</t>
  </si>
  <si>
    <t>J A C ELECTRIC CO OP INC (TDSP)</t>
  </si>
  <si>
    <t>JASPER NEWTON ELECTRIC CO OP INC (TDSP)</t>
  </si>
  <si>
    <t>NAVARRO COUNTY ELECTRIC CO OP INC (TDSP)</t>
  </si>
  <si>
    <t>NAVASOTA VALLEY ELECTRIC CO OP INC (TDSP)</t>
  </si>
  <si>
    <t>TRI COUNTY ELECTRIC CO OP INC (TDSP)</t>
  </si>
  <si>
    <t>TRINITY VALLEY ELEC CO OP (TDSP)</t>
  </si>
  <si>
    <t>UNITED ELECTRIC CO OP SERVICES INC (TDSP)</t>
  </si>
  <si>
    <t>WISE ELECTRIC CO OP (TDSP)</t>
  </si>
  <si>
    <t>CHEROKEE COUNTY ELEC CO OP ASSOC (TDSP)</t>
  </si>
  <si>
    <t>CITY OF BARTLETT (TDSP)</t>
  </si>
  <si>
    <t>074618935</t>
  </si>
  <si>
    <t>JACKSON ELECTRIC CO OP INC (TDSP)</t>
  </si>
  <si>
    <t>KARNES ELECTRIC CO OP INC (TDSP)</t>
  </si>
  <si>
    <t>SOUTH TEXAS ELECTRIC CO OP INC (TDSP)</t>
  </si>
  <si>
    <t>VICTORIA ELECTRIC CO OP INC (TDSP)</t>
  </si>
  <si>
    <t>WHARTON COUNTY ELECTRIC CO OP INC (TDSP)</t>
  </si>
  <si>
    <t>HAMILTON COUNTY ELECTRIC CO OP (LCRA) (TDSP)</t>
  </si>
  <si>
    <t>CITY OF FARMERSVILLE (TDSP)</t>
  </si>
  <si>
    <t>1903494984000</t>
  </si>
  <si>
    <t>8012610534999</t>
  </si>
  <si>
    <t>GREENBELT ELECTRIC COOPERATIVE INC (EDSP)</t>
  </si>
  <si>
    <t>0098338564999</t>
  </si>
  <si>
    <t>DUNS NUMBER</t>
  </si>
  <si>
    <t>DEAF SMITH ELECTRIC COOPERATIVE INC (EDSP)</t>
  </si>
  <si>
    <t>0079307464999</t>
  </si>
  <si>
    <t>0027819534200</t>
  </si>
  <si>
    <t>SOUTHWEST RURAL ELECTRIC ASSOCIATION INC (EDSP)</t>
  </si>
  <si>
    <t>0079071734999</t>
  </si>
  <si>
    <t>NUECES ELECTRIC COOP INC (TDSP)</t>
  </si>
  <si>
    <t>* Note:  DC Tie exports, Block Load Transfer exports, and Wholesale Storage Loads are excluded from this report.</t>
  </si>
  <si>
    <t>RIO GRANDE ELECTRIC COOPERATIVE INC (TDSP) 2C</t>
  </si>
  <si>
    <t>FARMERS ELECTRIC CO OP INC NPL (TDSP)</t>
  </si>
  <si>
    <t>0098442344100</t>
  </si>
  <si>
    <t>SWISHER ELECTRIC COOPERATIVE INC (EDSP)</t>
  </si>
  <si>
    <t>0098337734999</t>
  </si>
  <si>
    <t>RUSK COUNTY ELECTRIC COOPERATIVE INC TSK (EDSP)</t>
  </si>
  <si>
    <t>0098444404999</t>
  </si>
  <si>
    <t>RUSK COUNTY ELECTRIC COOPERATIVE INC AEP (EDSP)</t>
  </si>
  <si>
    <t>0098444404991</t>
  </si>
  <si>
    <t>FARMERS ELECTRIC CO OP INC ARCO (TDSP)</t>
  </si>
  <si>
    <t>0098442344200</t>
  </si>
  <si>
    <t>FARMERS ELECTRIC CO OP INC PRTN RC (TDSP)</t>
  </si>
  <si>
    <t>0098442344300</t>
  </si>
  <si>
    <t>ENTERGY TEXAS INC (EDSP)</t>
  </si>
  <si>
    <t>CITY OF FLORESVILLE DBA FLORESVILLE ELEC LIGHT AND PWR (TDSP)</t>
  </si>
  <si>
    <t>008948374</t>
  </si>
  <si>
    <t>PEDERNALES ELEC CO OP INC DCP (TDSP)</t>
  </si>
  <si>
    <t>0079241114400</t>
  </si>
  <si>
    <t>CENTRAL TEXAS ELECTRIC COOPERATIVE - NORTH (TDSP)</t>
  </si>
  <si>
    <t>0079302744100</t>
  </si>
  <si>
    <t>GRAYSON COLLIN ELECTRIC COOPERATIVE INC (EPCO) (TDSP)</t>
  </si>
  <si>
    <t>GRAYSON COLLIN ELECTRIC COOPERATIVE INC (MEL) (TDSP)</t>
  </si>
  <si>
    <t>0089538124100</t>
  </si>
  <si>
    <t>GRAYSON COLLIN ELECTRIC COOPERATIVE INC (TDSP)</t>
  </si>
  <si>
    <t>RIO GRANDE ELECTRIC COOPERATIVE INC (TDSP) 2A</t>
  </si>
  <si>
    <t>0027819534100</t>
  </si>
  <si>
    <t>CITY OF LUBBOCK ACTING THROUGH LUBBOCK POWER AND LIGHT (TDSP)</t>
  </si>
  <si>
    <t>0582138934000</t>
  </si>
  <si>
    <t>FANNIN COUNTY ELECTRIC CO OP INC NTMWD (TDSP)</t>
  </si>
  <si>
    <t>0018220894100</t>
  </si>
  <si>
    <t>FARMERS ELECTRIC CO OP INC NTMWD (TDSP)</t>
  </si>
  <si>
    <t>0098442344400</t>
  </si>
  <si>
    <t>TRINITY VALLEY ELECTRIC COOPERATIVE NTMWD (TDSP)</t>
  </si>
  <si>
    <t>0098445644100</t>
  </si>
  <si>
    <t xml:space="preserve">June 
6/23/2021 17:00 </t>
  </si>
  <si>
    <t>2021 Four Coincident Peak Load Calculation (MW)</t>
  </si>
  <si>
    <t>July
7/26/2021 17:00</t>
  </si>
  <si>
    <t>August
8/24/2021 17:00</t>
  </si>
  <si>
    <t>September
9/01/2021 17:00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</si>
</sst>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%"/>
    <numFmt numFmtId="165" formatCode="_(* #,##0.0000_);_(* \(#,##0.0000\);_(* &quot;-&quot;??_);_(@_)"/>
    <numFmt numFmtId="166" formatCode="#,##0.000000_);\(#,##0.000000\)"/>
    <numFmt numFmtId="167" formatCode="#,##0.000000"/>
  </numFmts>
  <fonts count="12" x14ac:knownFonts="1">
    <font>
      <sz val="10"/>
      <name val="Arial"/>
    </font>
    <font>
      <sz val="10"/>
      <name val="Arial"/>
      <family val="2"/>
    </font>
    <font>
      <b/>
      <sz val="16"/>
      <color indexed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b/>
      <sz val="10"/>
      <color indexed="10"/>
      <name val="Arial"/>
      <family val="2"/>
    </font>
    <font>
      <sz val="11"/>
      <color theme="1"/>
      <name val="Calibri"/>
      <family val="2"/>
      <scheme val="minor"/>
    </font>
    <font>
      <sz val="9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8">
    <xf numFmtId="0" fontId="0" fillId="0" borderId="0"/>
    <xf numFmtId="0" fontId="10" fillId="0" borderId="0"/>
    <xf numFmtId="0" fontId="8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2">
    <xf numFmtId="0" fontId="0" fillId="0" borderId="0" xfId="0"/>
    <xf numFmtId="0" fontId="0" fillId="0" borderId="0" xfId="0" applyBorder="1"/>
    <xf numFmtId="164" fontId="3" fillId="0" borderId="1" xfId="0" applyNumberFormat="1" applyFont="1" applyBorder="1" applyAlignment="1"/>
    <xf numFmtId="0" fontId="0" fillId="0" borderId="2" xfId="0" applyBorder="1"/>
    <xf numFmtId="0" fontId="7" fillId="0" borderId="2" xfId="0" quotePrefix="1" applyFont="1" applyBorder="1" applyAlignment="1">
      <alignment horizontal="left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quotePrefix="1" applyFont="1" applyFill="1" applyBorder="1" applyAlignment="1">
      <alignment horizontal="center" vertical="center" wrapText="1"/>
    </xf>
    <xf numFmtId="22" fontId="3" fillId="2" borderId="1" xfId="0" applyNumberFormat="1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/>
    </xf>
    <xf numFmtId="0" fontId="11" fillId="0" borderId="1" xfId="0" applyFont="1" applyBorder="1" applyAlignment="1">
      <alignment horizontal="center"/>
    </xf>
    <xf numFmtId="0" fontId="11" fillId="0" borderId="1" xfId="0" applyNumberFormat="1" applyFont="1" applyBorder="1"/>
    <xf numFmtId="2" fontId="4" fillId="0" borderId="1" xfId="0" applyNumberFormat="1" applyFont="1" applyBorder="1"/>
    <xf numFmtId="166" fontId="4" fillId="0" borderId="1" xfId="0" applyNumberFormat="1" applyFont="1" applyBorder="1"/>
    <xf numFmtId="167" fontId="4" fillId="3" borderId="1" xfId="0" applyNumberFormat="1" applyFont="1" applyFill="1" applyBorder="1"/>
    <xf numFmtId="165" fontId="4" fillId="0" borderId="1" xfId="0" applyNumberFormat="1" applyFont="1" applyBorder="1"/>
    <xf numFmtId="166" fontId="4" fillId="0" borderId="1" xfId="0" applyNumberFormat="1" applyFont="1" applyFill="1" applyBorder="1"/>
    <xf numFmtId="164" fontId="0" fillId="0" borderId="0" xfId="0" applyNumberFormat="1" applyBorder="1"/>
    <xf numFmtId="0" fontId="11" fillId="0" borderId="0" xfId="0" applyFont="1" applyBorder="1" applyAlignment="1">
      <alignment horizontal="center"/>
    </xf>
    <xf numFmtId="0" fontId="11" fillId="0" borderId="0" xfId="0" applyNumberFormat="1" applyFont="1" applyBorder="1"/>
    <xf numFmtId="14" fontId="11" fillId="0" borderId="0" xfId="0" applyNumberFormat="1" applyFont="1" applyBorder="1"/>
    <xf numFmtId="0" fontId="1" fillId="0" borderId="0" xfId="0" applyFont="1" applyBorder="1"/>
    <xf numFmtId="0" fontId="2" fillId="0" borderId="0" xfId="0" applyFont="1" applyBorder="1" applyAlignment="1">
      <alignment horizontal="center"/>
    </xf>
    <xf numFmtId="0" fontId="2" fillId="0" borderId="0" xfId="0" quotePrefix="1" applyFont="1" applyBorder="1" applyAlignment="1">
      <alignment horizontal="center"/>
    </xf>
    <xf numFmtId="14" fontId="9" fillId="0" borderId="0" xfId="0" applyNumberFormat="1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0" fontId="0" fillId="0" borderId="1" xfId="0" applyFill="1" applyBorder="1"/>
    <xf numFmtId="0" fontId="0" fillId="0" borderId="1" xfId="0" applyBorder="1"/>
    <xf numFmtId="0" fontId="5" fillId="0" borderId="1" xfId="0" applyFont="1" applyFill="1" applyBorder="1" applyAlignment="1" applyProtection="1">
      <alignment horizontal="left"/>
      <protection locked="0"/>
    </xf>
    <xf numFmtId="0" fontId="5" fillId="0" borderId="1" xfId="0" quotePrefix="1" applyFont="1" applyFill="1" applyBorder="1" applyAlignment="1" applyProtection="1">
      <alignment horizontal="left"/>
      <protection locked="0"/>
    </xf>
    <xf numFmtId="167" fontId="6" fillId="0" borderId="1" xfId="0" applyNumberFormat="1" applyFont="1" applyBorder="1"/>
    <xf numFmtId="164" fontId="6" fillId="0" borderId="1" xfId="5" applyNumberFormat="1" applyFont="1" applyBorder="1"/>
  </cellXfs>
  <cellStyles count="8">
    <cellStyle name="Normal" xfId="0" builtinId="0"/>
    <cellStyle name="Normal 2" xfId="1" xr:uid="{00000000-0005-0000-0000-000001000000}"/>
    <cellStyle name="Normal 3" xfId="2" xr:uid="{00000000-0005-0000-0000-000002000000}"/>
    <cellStyle name="Normal 3 2" xfId="3" xr:uid="{00000000-0005-0000-0000-000003000000}"/>
    <cellStyle name="Normal 4" xfId="4" xr:uid="{00000000-0005-0000-0000-000004000000}"/>
    <cellStyle name="Percent" xfId="5" builtinId="5"/>
    <cellStyle name="Percent 2" xfId="6" xr:uid="{00000000-0005-0000-0000-000006000000}"/>
    <cellStyle name="Percent 2 2" xfId="7" xr:uid="{00000000-0005-0000-0000-000007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7"/>
  <sheetViews>
    <sheetView tabSelected="1" workbookViewId="0">
      <selection sqref="A1:I1"/>
    </sheetView>
  </sheetViews>
  <sheetFormatPr defaultColWidth="8.85546875" defaultRowHeight="12.75" x14ac:dyDescent="0.2"/>
  <cols>
    <col min="1" max="1" width="7" style="1" customWidth="1"/>
    <col min="2" max="2" width="68.140625" style="1" customWidth="1"/>
    <col min="3" max="3" width="14.42578125" style="1" bestFit="1" customWidth="1"/>
    <col min="4" max="4" width="13.85546875" style="1" bestFit="1" customWidth="1"/>
    <col min="5" max="5" width="13.5703125" style="1" bestFit="1" customWidth="1"/>
    <col min="6" max="6" width="13.5703125" style="1" customWidth="1"/>
    <col min="7" max="7" width="13.85546875" style="1" bestFit="1" customWidth="1"/>
    <col min="8" max="8" width="13.28515625" style="1" bestFit="1" customWidth="1"/>
    <col min="9" max="9" width="15" style="1" bestFit="1" customWidth="1"/>
    <col min="10" max="16384" width="8.85546875" style="1"/>
  </cols>
  <sheetData>
    <row r="1" spans="1:9" ht="20.25" x14ac:dyDescent="0.3">
      <c r="A1" s="22" t="s">
        <v>284</v>
      </c>
      <c r="B1" s="23"/>
      <c r="C1" s="23"/>
      <c r="D1" s="23"/>
      <c r="E1" s="23"/>
      <c r="F1" s="23"/>
      <c r="G1" s="23"/>
      <c r="H1" s="23"/>
      <c r="I1" s="23"/>
    </row>
    <row r="2" spans="1:9" x14ac:dyDescent="0.2">
      <c r="A2" s="24"/>
      <c r="B2" s="25"/>
      <c r="C2" s="25"/>
      <c r="D2" s="25"/>
      <c r="E2" s="25"/>
      <c r="F2" s="25"/>
      <c r="G2" s="25"/>
      <c r="H2" s="25"/>
      <c r="I2" s="25"/>
    </row>
    <row r="3" spans="1:9" ht="36" x14ac:dyDescent="0.2">
      <c r="A3" s="5" t="s">
        <v>192</v>
      </c>
      <c r="B3" s="6" t="s">
        <v>193</v>
      </c>
      <c r="C3" s="5" t="s">
        <v>241</v>
      </c>
      <c r="D3" s="7" t="s">
        <v>283</v>
      </c>
      <c r="E3" s="7" t="s">
        <v>285</v>
      </c>
      <c r="F3" s="7" t="s">
        <v>286</v>
      </c>
      <c r="G3" s="7" t="s">
        <v>287</v>
      </c>
      <c r="H3" s="7" t="s">
        <v>191</v>
      </c>
      <c r="I3" s="8" t="s">
        <v>0</v>
      </c>
    </row>
    <row r="4" spans="1:9" x14ac:dyDescent="0.2">
      <c r="A4" s="26">
        <v>5</v>
      </c>
      <c r="B4" s="26" t="s">
        <v>208</v>
      </c>
      <c r="C4" s="26" t="s">
        <v>6</v>
      </c>
      <c r="D4" s="13">
        <v>4683.784568</v>
      </c>
      <c r="E4" s="13">
        <v>4906.99424</v>
      </c>
      <c r="F4" s="13">
        <v>5130.9065600000004</v>
      </c>
      <c r="G4" s="13">
        <v>5187.3966760000003</v>
      </c>
      <c r="H4" s="14">
        <f t="shared" ref="H4:H36" si="0">AVERAGE(D4:G4)</f>
        <v>4977.2705109999997</v>
      </c>
      <c r="I4" s="2">
        <f t="shared" ref="I4:I35" si="1">ROUND(H4/H$143,7)</f>
        <v>6.8661200000000006E-2</v>
      </c>
    </row>
    <row r="5" spans="1:9" x14ac:dyDescent="0.2">
      <c r="A5" s="26">
        <v>7</v>
      </c>
      <c r="B5" s="26" t="s">
        <v>209</v>
      </c>
      <c r="C5" s="26" t="s">
        <v>7</v>
      </c>
      <c r="D5" s="13">
        <v>1122.524868</v>
      </c>
      <c r="E5" s="13">
        <v>1098.053224</v>
      </c>
      <c r="F5" s="13">
        <v>1065.8953240000001</v>
      </c>
      <c r="G5" s="13">
        <v>1072.365624</v>
      </c>
      <c r="H5" s="14">
        <f t="shared" si="0"/>
        <v>1089.70976</v>
      </c>
      <c r="I5" s="2">
        <f t="shared" si="1"/>
        <v>1.5032500000000001E-2</v>
      </c>
    </row>
    <row r="6" spans="1:9" x14ac:dyDescent="0.2">
      <c r="A6" s="26">
        <v>18</v>
      </c>
      <c r="B6" s="26" t="s">
        <v>8</v>
      </c>
      <c r="C6" s="26" t="s">
        <v>9</v>
      </c>
      <c r="D6" s="13">
        <v>144.541044</v>
      </c>
      <c r="E6" s="13">
        <v>150.55469600000001</v>
      </c>
      <c r="F6" s="13">
        <v>146.28634</v>
      </c>
      <c r="G6" s="13">
        <v>147.69636800000001</v>
      </c>
      <c r="H6" s="14">
        <f t="shared" si="0"/>
        <v>147.269612</v>
      </c>
      <c r="I6" s="2">
        <f t="shared" si="1"/>
        <v>2.0316000000000002E-3</v>
      </c>
    </row>
    <row r="7" spans="1:9" x14ac:dyDescent="0.2">
      <c r="A7" s="26">
        <v>19</v>
      </c>
      <c r="B7" s="26" t="s">
        <v>210</v>
      </c>
      <c r="C7" s="26" t="s">
        <v>10</v>
      </c>
      <c r="D7" s="13">
        <v>43.751283999999998</v>
      </c>
      <c r="E7" s="13">
        <v>47.718375999999999</v>
      </c>
      <c r="F7" s="13">
        <v>48.323312000000001</v>
      </c>
      <c r="G7" s="13">
        <v>48.795276000000001</v>
      </c>
      <c r="H7" s="14">
        <f t="shared" si="0"/>
        <v>47.147062000000005</v>
      </c>
      <c r="I7" s="2">
        <f t="shared" si="1"/>
        <v>6.5039999999999998E-4</v>
      </c>
    </row>
    <row r="8" spans="1:9" x14ac:dyDescent="0.2">
      <c r="A8" s="26">
        <v>21</v>
      </c>
      <c r="B8" s="26" t="s">
        <v>11</v>
      </c>
      <c r="C8" s="26" t="s">
        <v>12</v>
      </c>
      <c r="D8" s="13">
        <v>32.582824000000002</v>
      </c>
      <c r="E8" s="13">
        <v>37.212636000000003</v>
      </c>
      <c r="F8" s="13">
        <v>37.455316000000003</v>
      </c>
      <c r="G8" s="13">
        <v>36.433784000000003</v>
      </c>
      <c r="H8" s="14">
        <f t="shared" si="0"/>
        <v>35.921140000000001</v>
      </c>
      <c r="I8" s="2">
        <f t="shared" si="1"/>
        <v>4.9549999999999996E-4</v>
      </c>
    </row>
    <row r="9" spans="1:9" x14ac:dyDescent="0.2">
      <c r="A9" s="26">
        <v>22</v>
      </c>
      <c r="B9" s="26" t="s">
        <v>13</v>
      </c>
      <c r="C9" s="26" t="s">
        <v>14</v>
      </c>
      <c r="D9" s="13">
        <v>499.79071599999997</v>
      </c>
      <c r="E9" s="13">
        <v>503.56761599999999</v>
      </c>
      <c r="F9" s="13">
        <v>515.87333599999999</v>
      </c>
      <c r="G9" s="13">
        <v>518.47773199999995</v>
      </c>
      <c r="H9" s="14">
        <f t="shared" si="0"/>
        <v>509.42734999999993</v>
      </c>
      <c r="I9" s="2">
        <f t="shared" si="1"/>
        <v>7.0274999999999999E-3</v>
      </c>
    </row>
    <row r="10" spans="1:9" x14ac:dyDescent="0.2">
      <c r="A10" s="26">
        <v>23</v>
      </c>
      <c r="B10" s="26" t="s">
        <v>199</v>
      </c>
      <c r="C10" s="26" t="s">
        <v>15</v>
      </c>
      <c r="D10" s="15">
        <v>1.2472240000000001</v>
      </c>
      <c r="E10" s="15">
        <v>0</v>
      </c>
      <c r="F10" s="15">
        <v>0</v>
      </c>
      <c r="G10" s="15">
        <v>0.93948799999999999</v>
      </c>
      <c r="H10" s="14">
        <f t="shared" si="0"/>
        <v>0.546678</v>
      </c>
      <c r="I10" s="2">
        <f t="shared" si="1"/>
        <v>7.5000000000000002E-6</v>
      </c>
    </row>
    <row r="11" spans="1:9" x14ac:dyDescent="0.2">
      <c r="A11" s="26">
        <v>104</v>
      </c>
      <c r="B11" s="26" t="s">
        <v>200</v>
      </c>
      <c r="C11" s="26" t="s">
        <v>143</v>
      </c>
      <c r="D11" s="13">
        <v>234.21486400000001</v>
      </c>
      <c r="E11" s="13">
        <v>263.53309999999999</v>
      </c>
      <c r="F11" s="13">
        <v>273.54743999999999</v>
      </c>
      <c r="G11" s="13">
        <v>277.13024000000001</v>
      </c>
      <c r="H11" s="14">
        <f t="shared" si="0"/>
        <v>262.10641099999998</v>
      </c>
      <c r="I11" s="2">
        <f t="shared" si="1"/>
        <v>3.6156999999999999E-3</v>
      </c>
    </row>
    <row r="12" spans="1:9" x14ac:dyDescent="0.2">
      <c r="A12" s="26">
        <v>105</v>
      </c>
      <c r="B12" s="26" t="s">
        <v>144</v>
      </c>
      <c r="C12" s="26" t="s">
        <v>145</v>
      </c>
      <c r="D12" s="13">
        <v>375.22304800000001</v>
      </c>
      <c r="E12" s="13">
        <v>342.152872</v>
      </c>
      <c r="F12" s="13">
        <v>365.500992</v>
      </c>
      <c r="G12" s="13">
        <v>375.43232399999999</v>
      </c>
      <c r="H12" s="14">
        <f t="shared" si="0"/>
        <v>364.57730900000001</v>
      </c>
      <c r="I12" s="2">
        <f t="shared" si="1"/>
        <v>5.0292999999999996E-3</v>
      </c>
    </row>
    <row r="13" spans="1:9" x14ac:dyDescent="0.2">
      <c r="A13" s="26">
        <v>1</v>
      </c>
      <c r="B13" s="26" t="s">
        <v>1</v>
      </c>
      <c r="C13" s="26" t="s">
        <v>2</v>
      </c>
      <c r="D13" s="13">
        <v>18596.503820000002</v>
      </c>
      <c r="E13" s="13">
        <v>18837.967752</v>
      </c>
      <c r="F13" s="13">
        <v>19095.958772000002</v>
      </c>
      <c r="G13" s="13">
        <v>16902.662572000001</v>
      </c>
      <c r="H13" s="14">
        <f t="shared" si="0"/>
        <v>18358.273229000002</v>
      </c>
      <c r="I13" s="2">
        <f t="shared" si="1"/>
        <v>0.25325140000000002</v>
      </c>
    </row>
    <row r="14" spans="1:9" x14ac:dyDescent="0.2">
      <c r="A14" s="26">
        <v>25</v>
      </c>
      <c r="B14" s="26" t="s">
        <v>16</v>
      </c>
      <c r="C14" s="26" t="s">
        <v>17</v>
      </c>
      <c r="D14" s="13">
        <v>126.972212</v>
      </c>
      <c r="E14" s="13">
        <v>140.15915200000001</v>
      </c>
      <c r="F14" s="13">
        <v>136.99127200000001</v>
      </c>
      <c r="G14" s="13">
        <v>136.84076400000001</v>
      </c>
      <c r="H14" s="14">
        <f t="shared" si="0"/>
        <v>135.24085000000002</v>
      </c>
      <c r="I14" s="2">
        <f t="shared" si="1"/>
        <v>1.8656E-3</v>
      </c>
    </row>
    <row r="15" spans="1:9" x14ac:dyDescent="0.2">
      <c r="A15" s="26">
        <v>209</v>
      </c>
      <c r="B15" s="26" t="s">
        <v>267</v>
      </c>
      <c r="C15" s="26" t="s">
        <v>268</v>
      </c>
      <c r="D15" s="13">
        <v>0.17280400000000001</v>
      </c>
      <c r="E15" s="13">
        <v>0.186336</v>
      </c>
      <c r="F15" s="13">
        <v>0.179924</v>
      </c>
      <c r="G15" s="13">
        <v>0.17921999999999999</v>
      </c>
      <c r="H15" s="14">
        <f t="shared" ref="H15" si="2">AVERAGE(D15:G15)</f>
        <v>0.17957099999999998</v>
      </c>
      <c r="I15" s="2">
        <f t="shared" si="1"/>
        <v>2.5000000000000002E-6</v>
      </c>
    </row>
    <row r="16" spans="1:9" x14ac:dyDescent="0.2">
      <c r="A16" s="26">
        <v>107</v>
      </c>
      <c r="B16" s="26" t="s">
        <v>227</v>
      </c>
      <c r="C16" s="26" t="s">
        <v>146</v>
      </c>
      <c r="D16" s="13">
        <v>66.426888000000005</v>
      </c>
      <c r="E16" s="13">
        <v>72.781332000000006</v>
      </c>
      <c r="F16" s="13">
        <v>63.085644000000002</v>
      </c>
      <c r="G16" s="13">
        <v>72.073124000000007</v>
      </c>
      <c r="H16" s="14">
        <f t="shared" si="0"/>
        <v>68.591746999999998</v>
      </c>
      <c r="I16" s="2">
        <f t="shared" si="1"/>
        <v>9.4620000000000001E-4</v>
      </c>
    </row>
    <row r="17" spans="1:9" x14ac:dyDescent="0.2">
      <c r="A17" s="26">
        <v>108</v>
      </c>
      <c r="B17" s="26" t="s">
        <v>147</v>
      </c>
      <c r="C17" s="26" t="s">
        <v>148</v>
      </c>
      <c r="D17" s="13">
        <v>2566.3372800000002</v>
      </c>
      <c r="E17" s="13">
        <v>2594.9321719999998</v>
      </c>
      <c r="F17" s="13">
        <v>2611.2320639999998</v>
      </c>
      <c r="G17" s="13">
        <v>2644.732188</v>
      </c>
      <c r="H17" s="14">
        <f t="shared" si="0"/>
        <v>2604.3084260000001</v>
      </c>
      <c r="I17" s="2">
        <f t="shared" si="1"/>
        <v>3.5926300000000001E-2</v>
      </c>
    </row>
    <row r="18" spans="1:9" x14ac:dyDescent="0.2">
      <c r="A18" s="26">
        <v>109</v>
      </c>
      <c r="B18" s="26" t="s">
        <v>228</v>
      </c>
      <c r="C18" s="26" t="s">
        <v>229</v>
      </c>
      <c r="D18" s="13">
        <v>2.3275920000000001</v>
      </c>
      <c r="E18" s="13">
        <v>2.5734919999999999</v>
      </c>
      <c r="F18" s="13">
        <v>2.6145160000000001</v>
      </c>
      <c r="G18" s="13">
        <v>2.6142280000000002</v>
      </c>
      <c r="H18" s="14">
        <f t="shared" si="0"/>
        <v>2.532457</v>
      </c>
      <c r="I18" s="2">
        <f t="shared" si="1"/>
        <v>3.4900000000000001E-5</v>
      </c>
    </row>
    <row r="19" spans="1:9" x14ac:dyDescent="0.2">
      <c r="A19" s="26">
        <v>26</v>
      </c>
      <c r="B19" s="26" t="s">
        <v>18</v>
      </c>
      <c r="C19" s="26" t="s">
        <v>19</v>
      </c>
      <c r="D19" s="13">
        <v>16.110956000000002</v>
      </c>
      <c r="E19" s="13">
        <v>16.115448000000001</v>
      </c>
      <c r="F19" s="13">
        <v>16.771636000000001</v>
      </c>
      <c r="G19" s="13">
        <v>17.176984000000001</v>
      </c>
      <c r="H19" s="14">
        <f t="shared" si="0"/>
        <v>16.543756000000002</v>
      </c>
      <c r="I19" s="2">
        <f t="shared" si="1"/>
        <v>2.2819999999999999E-4</v>
      </c>
    </row>
    <row r="20" spans="1:9" x14ac:dyDescent="0.2">
      <c r="A20" s="26">
        <v>27</v>
      </c>
      <c r="B20" s="26" t="s">
        <v>20</v>
      </c>
      <c r="C20" s="26" t="s">
        <v>21</v>
      </c>
      <c r="D20" s="13">
        <v>12.139343999999999</v>
      </c>
      <c r="E20" s="13">
        <v>12.399324</v>
      </c>
      <c r="F20" s="13">
        <v>13.389720000000001</v>
      </c>
      <c r="G20" s="13">
        <v>11.900040000000001</v>
      </c>
      <c r="H20" s="14">
        <f t="shared" si="0"/>
        <v>12.457107000000001</v>
      </c>
      <c r="I20" s="2">
        <f t="shared" si="1"/>
        <v>1.718E-4</v>
      </c>
    </row>
    <row r="21" spans="1:9" x14ac:dyDescent="0.2">
      <c r="A21" s="26">
        <v>28</v>
      </c>
      <c r="B21" s="26" t="s">
        <v>22</v>
      </c>
      <c r="C21" s="26" t="s">
        <v>23</v>
      </c>
      <c r="D21" s="13">
        <v>32.737167999999997</v>
      </c>
      <c r="E21" s="13">
        <v>32.671576000000002</v>
      </c>
      <c r="F21" s="13">
        <v>33.486159999999998</v>
      </c>
      <c r="G21" s="13">
        <v>33.943491999999999</v>
      </c>
      <c r="H21" s="14">
        <f t="shared" si="0"/>
        <v>33.209598999999997</v>
      </c>
      <c r="I21" s="2">
        <f t="shared" si="1"/>
        <v>4.5810000000000002E-4</v>
      </c>
    </row>
    <row r="22" spans="1:9" x14ac:dyDescent="0.2">
      <c r="A22" s="26">
        <v>110</v>
      </c>
      <c r="B22" s="26" t="s">
        <v>149</v>
      </c>
      <c r="C22" s="26" t="s">
        <v>150</v>
      </c>
      <c r="D22" s="13">
        <v>13.721247999999999</v>
      </c>
      <c r="E22" s="13">
        <v>15.535076</v>
      </c>
      <c r="F22" s="13">
        <v>14.483096</v>
      </c>
      <c r="G22" s="13">
        <v>15.902832</v>
      </c>
      <c r="H22" s="14">
        <f t="shared" si="0"/>
        <v>14.910563</v>
      </c>
      <c r="I22" s="2">
        <f t="shared" si="1"/>
        <v>2.0570000000000001E-4</v>
      </c>
    </row>
    <row r="23" spans="1:9" x14ac:dyDescent="0.2">
      <c r="A23" s="26">
        <v>111</v>
      </c>
      <c r="B23" s="26" t="s">
        <v>151</v>
      </c>
      <c r="C23" s="26" t="s">
        <v>152</v>
      </c>
      <c r="D23" s="13">
        <v>13.828364000000001</v>
      </c>
      <c r="E23" s="13">
        <v>14.009596</v>
      </c>
      <c r="F23" s="13">
        <v>13.847792</v>
      </c>
      <c r="G23" s="13">
        <v>13.936444</v>
      </c>
      <c r="H23" s="14">
        <f t="shared" si="0"/>
        <v>13.905549000000001</v>
      </c>
      <c r="I23" s="2">
        <f t="shared" si="1"/>
        <v>1.918E-4</v>
      </c>
    </row>
    <row r="24" spans="1:9" x14ac:dyDescent="0.2">
      <c r="A24" s="26">
        <v>29</v>
      </c>
      <c r="B24" s="26" t="s">
        <v>24</v>
      </c>
      <c r="C24" s="26" t="s">
        <v>25</v>
      </c>
      <c r="D24" s="13">
        <v>54.367916000000001</v>
      </c>
      <c r="E24" s="13">
        <v>54.550212000000002</v>
      </c>
      <c r="F24" s="13">
        <v>56.374664000000003</v>
      </c>
      <c r="G24" s="13">
        <v>54.301043999999997</v>
      </c>
      <c r="H24" s="14">
        <f t="shared" si="0"/>
        <v>54.898458999999995</v>
      </c>
      <c r="I24" s="2">
        <f t="shared" si="1"/>
        <v>7.5730000000000003E-4</v>
      </c>
    </row>
    <row r="25" spans="1:9" x14ac:dyDescent="0.2">
      <c r="A25" s="26">
        <v>30</v>
      </c>
      <c r="B25" s="26" t="s">
        <v>26</v>
      </c>
      <c r="C25" s="26" t="s">
        <v>27</v>
      </c>
      <c r="D25" s="13">
        <v>11.760479999999999</v>
      </c>
      <c r="E25" s="13">
        <v>13.235099999999999</v>
      </c>
      <c r="F25" s="13">
        <v>13.440251999999999</v>
      </c>
      <c r="G25" s="13">
        <v>13.724691999999999</v>
      </c>
      <c r="H25" s="14">
        <f t="shared" si="0"/>
        <v>13.040130999999999</v>
      </c>
      <c r="I25" s="2">
        <f t="shared" si="1"/>
        <v>1.7990000000000001E-4</v>
      </c>
    </row>
    <row r="26" spans="1:9" x14ac:dyDescent="0.2">
      <c r="A26" s="26">
        <v>31</v>
      </c>
      <c r="B26" s="26" t="s">
        <v>28</v>
      </c>
      <c r="C26" s="26" t="s">
        <v>29</v>
      </c>
      <c r="D26" s="13">
        <v>17.928115999999999</v>
      </c>
      <c r="E26" s="13">
        <v>18.681667999999998</v>
      </c>
      <c r="F26" s="13">
        <v>19.249420000000001</v>
      </c>
      <c r="G26" s="13">
        <v>18.667704000000001</v>
      </c>
      <c r="H26" s="14">
        <f t="shared" si="0"/>
        <v>18.631726999999998</v>
      </c>
      <c r="I26" s="2">
        <f t="shared" si="1"/>
        <v>2.5700000000000001E-4</v>
      </c>
    </row>
    <row r="27" spans="1:9" x14ac:dyDescent="0.2">
      <c r="A27" s="26">
        <v>113</v>
      </c>
      <c r="B27" s="26" t="s">
        <v>153</v>
      </c>
      <c r="C27" s="26" t="s">
        <v>154</v>
      </c>
      <c r="D27" s="13">
        <v>8.4146239999999999</v>
      </c>
      <c r="E27" s="13">
        <v>8.7998720000000006</v>
      </c>
      <c r="F27" s="13">
        <v>8.3769120000000008</v>
      </c>
      <c r="G27" s="13">
        <v>8.0642359999999993</v>
      </c>
      <c r="H27" s="14">
        <f t="shared" si="0"/>
        <v>8.4139110000000006</v>
      </c>
      <c r="I27" s="2">
        <f t="shared" si="1"/>
        <v>1.161E-4</v>
      </c>
    </row>
    <row r="28" spans="1:9" x14ac:dyDescent="0.2">
      <c r="A28" s="26">
        <v>114</v>
      </c>
      <c r="B28" s="26" t="s">
        <v>155</v>
      </c>
      <c r="C28" s="26" t="s">
        <v>156</v>
      </c>
      <c r="D28" s="13">
        <v>196.42119600000001</v>
      </c>
      <c r="E28" s="13">
        <v>195.07660799999999</v>
      </c>
      <c r="F28" s="13">
        <v>210.04502400000001</v>
      </c>
      <c r="G28" s="13">
        <v>213.79773599999999</v>
      </c>
      <c r="H28" s="14">
        <f t="shared" si="0"/>
        <v>203.83514099999999</v>
      </c>
      <c r="I28" s="2">
        <f t="shared" si="1"/>
        <v>2.8119E-3</v>
      </c>
    </row>
    <row r="29" spans="1:9" x14ac:dyDescent="0.2">
      <c r="A29" s="26">
        <v>32</v>
      </c>
      <c r="B29" s="26" t="s">
        <v>30</v>
      </c>
      <c r="C29" s="26" t="s">
        <v>31</v>
      </c>
      <c r="D29" s="13">
        <v>19.366648000000001</v>
      </c>
      <c r="E29" s="13">
        <v>20.378088000000002</v>
      </c>
      <c r="F29" s="13">
        <v>20.850567999999999</v>
      </c>
      <c r="G29" s="13">
        <v>21.056903999999999</v>
      </c>
      <c r="H29" s="14">
        <f t="shared" si="0"/>
        <v>20.413052</v>
      </c>
      <c r="I29" s="2">
        <f t="shared" si="1"/>
        <v>2.8160000000000001E-4</v>
      </c>
    </row>
    <row r="30" spans="1:9" x14ac:dyDescent="0.2">
      <c r="A30" s="26">
        <v>115</v>
      </c>
      <c r="B30" s="26" t="s">
        <v>236</v>
      </c>
      <c r="C30" s="26" t="s">
        <v>237</v>
      </c>
      <c r="D30" s="16">
        <v>6.6866159999999999</v>
      </c>
      <c r="E30" s="16">
        <v>7.6540039999999996</v>
      </c>
      <c r="F30" s="16">
        <v>7.7976679999999998</v>
      </c>
      <c r="G30" s="16">
        <v>7.9179719999999998</v>
      </c>
      <c r="H30" s="14">
        <f t="shared" si="0"/>
        <v>7.5140649999999996</v>
      </c>
      <c r="I30" s="2">
        <f t="shared" si="1"/>
        <v>1.037E-4</v>
      </c>
    </row>
    <row r="31" spans="1:9" x14ac:dyDescent="0.2">
      <c r="A31" s="26">
        <v>33</v>
      </c>
      <c r="B31" s="26" t="s">
        <v>32</v>
      </c>
      <c r="C31" s="26" t="s">
        <v>33</v>
      </c>
      <c r="D31" s="13">
        <v>5.7917480000000001</v>
      </c>
      <c r="E31" s="13">
        <v>5.6448919999999996</v>
      </c>
      <c r="F31" s="13">
        <v>5.5165480000000002</v>
      </c>
      <c r="G31" s="13">
        <v>5.7373320000000003</v>
      </c>
      <c r="H31" s="14">
        <f t="shared" si="0"/>
        <v>5.6726299999999998</v>
      </c>
      <c r="I31" s="2">
        <f t="shared" si="1"/>
        <v>7.8300000000000006E-5</v>
      </c>
    </row>
    <row r="32" spans="1:9" x14ac:dyDescent="0.2">
      <c r="A32" s="26">
        <v>116</v>
      </c>
      <c r="B32" s="26" t="s">
        <v>263</v>
      </c>
      <c r="C32" s="26" t="s">
        <v>264</v>
      </c>
      <c r="D32" s="13">
        <v>71.615307999999999</v>
      </c>
      <c r="E32" s="13">
        <v>71.426388000000003</v>
      </c>
      <c r="F32" s="13">
        <v>74.819860000000006</v>
      </c>
      <c r="G32" s="13">
        <v>77.338952000000006</v>
      </c>
      <c r="H32" s="14">
        <f t="shared" ref="H32" si="3">AVERAGE(D32:G32)</f>
        <v>73.800127000000003</v>
      </c>
      <c r="I32" s="2">
        <f t="shared" si="1"/>
        <v>1.0181000000000001E-3</v>
      </c>
    </row>
    <row r="33" spans="1:9" x14ac:dyDescent="0.2">
      <c r="A33" s="26">
        <v>34</v>
      </c>
      <c r="B33" s="26" t="s">
        <v>34</v>
      </c>
      <c r="C33" s="26" t="s">
        <v>35</v>
      </c>
      <c r="D33" s="13">
        <v>29.351051999999999</v>
      </c>
      <c r="E33" s="13">
        <v>31.979264000000001</v>
      </c>
      <c r="F33" s="13">
        <v>32.004876000000003</v>
      </c>
      <c r="G33" s="13">
        <v>31.626467999999999</v>
      </c>
      <c r="H33" s="14">
        <f t="shared" si="0"/>
        <v>31.240415000000002</v>
      </c>
      <c r="I33" s="2">
        <f t="shared" si="1"/>
        <v>4.3100000000000001E-4</v>
      </c>
    </row>
    <row r="34" spans="1:9" x14ac:dyDescent="0.2">
      <c r="A34" s="26">
        <v>117</v>
      </c>
      <c r="B34" s="26" t="s">
        <v>157</v>
      </c>
      <c r="C34" s="26" t="s">
        <v>158</v>
      </c>
      <c r="D34" s="13">
        <v>407.828396</v>
      </c>
      <c r="E34" s="13">
        <v>454.76933600000001</v>
      </c>
      <c r="F34" s="13">
        <v>441.689976</v>
      </c>
      <c r="G34" s="13">
        <v>453.25341600000002</v>
      </c>
      <c r="H34" s="14">
        <f t="shared" si="0"/>
        <v>439.38528099999996</v>
      </c>
      <c r="I34" s="2">
        <f t="shared" si="1"/>
        <v>6.0613000000000004E-3</v>
      </c>
    </row>
    <row r="35" spans="1:9" x14ac:dyDescent="0.2">
      <c r="A35" s="26">
        <v>35</v>
      </c>
      <c r="B35" s="26" t="s">
        <v>36</v>
      </c>
      <c r="C35" s="26" t="s">
        <v>37</v>
      </c>
      <c r="D35" s="13">
        <v>145.305488</v>
      </c>
      <c r="E35" s="13">
        <v>153.24293599999999</v>
      </c>
      <c r="F35" s="13">
        <v>155.48727600000001</v>
      </c>
      <c r="G35" s="13">
        <v>153.86357599999999</v>
      </c>
      <c r="H35" s="14">
        <f t="shared" si="0"/>
        <v>151.974819</v>
      </c>
      <c r="I35" s="2">
        <f t="shared" si="1"/>
        <v>2.0964999999999998E-3</v>
      </c>
    </row>
    <row r="36" spans="1:9" x14ac:dyDescent="0.2">
      <c r="A36" s="26">
        <v>36</v>
      </c>
      <c r="B36" s="26" t="s">
        <v>38</v>
      </c>
      <c r="C36" s="26" t="s">
        <v>39</v>
      </c>
      <c r="D36" s="13">
        <v>11.886088000000001</v>
      </c>
      <c r="E36" s="13">
        <v>12.363212000000001</v>
      </c>
      <c r="F36" s="13">
        <v>12.017832</v>
      </c>
      <c r="G36" s="13">
        <v>12.292624</v>
      </c>
      <c r="H36" s="14">
        <f t="shared" si="0"/>
        <v>12.139939000000002</v>
      </c>
      <c r="I36" s="2">
        <f t="shared" ref="I36:I67" si="4">ROUND(H36/H$143,7)</f>
        <v>1.6750000000000001E-4</v>
      </c>
    </row>
    <row r="37" spans="1:9" x14ac:dyDescent="0.2">
      <c r="A37" s="26">
        <v>118</v>
      </c>
      <c r="B37" s="26" t="s">
        <v>159</v>
      </c>
      <c r="C37" s="26" t="s">
        <v>160</v>
      </c>
      <c r="D37" s="13">
        <v>0.97759200000000002</v>
      </c>
      <c r="E37" s="13">
        <v>0.96028000000000002</v>
      </c>
      <c r="F37" s="13">
        <v>0.91328399999999998</v>
      </c>
      <c r="G37" s="13">
        <v>0.87862799999999996</v>
      </c>
      <c r="H37" s="14">
        <f t="shared" ref="H37:H68" si="5">AVERAGE(D37:G37)</f>
        <v>0.932446</v>
      </c>
      <c r="I37" s="2">
        <f t="shared" si="4"/>
        <v>1.29E-5</v>
      </c>
    </row>
    <row r="38" spans="1:9" x14ac:dyDescent="0.2">
      <c r="A38" s="26">
        <v>37</v>
      </c>
      <c r="B38" s="26" t="s">
        <v>40</v>
      </c>
      <c r="C38" s="26" t="s">
        <v>41</v>
      </c>
      <c r="D38" s="13">
        <v>4.6836520000000004</v>
      </c>
      <c r="E38" s="13">
        <v>5.3313759999999997</v>
      </c>
      <c r="F38" s="13">
        <v>5.2422680000000001</v>
      </c>
      <c r="G38" s="13">
        <v>5.385224</v>
      </c>
      <c r="H38" s="14">
        <f t="shared" si="5"/>
        <v>5.1606300000000003</v>
      </c>
      <c r="I38" s="2">
        <f t="shared" si="4"/>
        <v>7.1199999999999996E-5</v>
      </c>
    </row>
    <row r="39" spans="1:9" ht="12.75" customHeight="1" x14ac:dyDescent="0.2">
      <c r="A39" s="26">
        <v>38</v>
      </c>
      <c r="B39" s="26" t="s">
        <v>42</v>
      </c>
      <c r="C39" s="26" t="s">
        <v>43</v>
      </c>
      <c r="D39" s="13">
        <v>17.277284000000002</v>
      </c>
      <c r="E39" s="13">
        <v>17.236632</v>
      </c>
      <c r="F39" s="13">
        <v>17.763559999999998</v>
      </c>
      <c r="G39" s="13">
        <v>18.589563999999999</v>
      </c>
      <c r="H39" s="14">
        <f t="shared" si="5"/>
        <v>17.716760000000001</v>
      </c>
      <c r="I39" s="2">
        <f t="shared" si="4"/>
        <v>2.4439999999999998E-4</v>
      </c>
    </row>
    <row r="40" spans="1:9" ht="12.75" customHeight="1" x14ac:dyDescent="0.2">
      <c r="A40" s="26">
        <v>39</v>
      </c>
      <c r="B40" s="26" t="s">
        <v>44</v>
      </c>
      <c r="C40" s="26" t="s">
        <v>45</v>
      </c>
      <c r="D40" s="13">
        <v>8.293056</v>
      </c>
      <c r="E40" s="13">
        <v>8.4254479999999994</v>
      </c>
      <c r="F40" s="13">
        <v>9.0980319999999999</v>
      </c>
      <c r="G40" s="13">
        <v>8.6267040000000001</v>
      </c>
      <c r="H40" s="14">
        <f t="shared" si="5"/>
        <v>8.6108100000000007</v>
      </c>
      <c r="I40" s="2">
        <f t="shared" si="4"/>
        <v>1.188E-4</v>
      </c>
    </row>
    <row r="41" spans="1:9" x14ac:dyDescent="0.2">
      <c r="A41" s="26">
        <v>119</v>
      </c>
      <c r="B41" s="26" t="s">
        <v>161</v>
      </c>
      <c r="C41" s="26" t="s">
        <v>162</v>
      </c>
      <c r="D41" s="13">
        <v>10.381563999999999</v>
      </c>
      <c r="E41" s="13">
        <v>10.279260000000001</v>
      </c>
      <c r="F41" s="13">
        <v>10.672624000000001</v>
      </c>
      <c r="G41" s="13">
        <v>11.042004</v>
      </c>
      <c r="H41" s="14">
        <f t="shared" si="5"/>
        <v>10.593862999999999</v>
      </c>
      <c r="I41" s="2">
        <f t="shared" si="4"/>
        <v>1.461E-4</v>
      </c>
    </row>
    <row r="42" spans="1:9" x14ac:dyDescent="0.2">
      <c r="A42" s="26">
        <v>40</v>
      </c>
      <c r="B42" s="26" t="s">
        <v>46</v>
      </c>
      <c r="C42" s="26" t="s">
        <v>47</v>
      </c>
      <c r="D42" s="13">
        <v>11.285568</v>
      </c>
      <c r="E42" s="13">
        <v>11.386144</v>
      </c>
      <c r="F42" s="13">
        <v>11.883471999999999</v>
      </c>
      <c r="G42" s="13">
        <v>11.79082</v>
      </c>
      <c r="H42" s="14">
        <f t="shared" si="5"/>
        <v>11.586500999999998</v>
      </c>
      <c r="I42" s="2">
        <f t="shared" si="4"/>
        <v>1.5980000000000001E-4</v>
      </c>
    </row>
    <row r="43" spans="1:9" x14ac:dyDescent="0.2">
      <c r="A43" s="26">
        <v>41</v>
      </c>
      <c r="B43" s="26" t="s">
        <v>48</v>
      </c>
      <c r="C43" s="26" t="s">
        <v>49</v>
      </c>
      <c r="D43" s="13">
        <v>14.400052000000001</v>
      </c>
      <c r="E43" s="13">
        <v>14.372828</v>
      </c>
      <c r="F43" s="13">
        <v>15.126899999999999</v>
      </c>
      <c r="G43" s="13">
        <v>12.8062</v>
      </c>
      <c r="H43" s="14">
        <f t="shared" si="5"/>
        <v>14.176494999999999</v>
      </c>
      <c r="I43" s="2">
        <f t="shared" si="4"/>
        <v>1.9560000000000001E-4</v>
      </c>
    </row>
    <row r="44" spans="1:9" x14ac:dyDescent="0.2">
      <c r="A44" s="26">
        <v>42</v>
      </c>
      <c r="B44" s="26" t="s">
        <v>50</v>
      </c>
      <c r="C44" s="26" t="s">
        <v>51</v>
      </c>
      <c r="D44" s="13">
        <v>21.936152</v>
      </c>
      <c r="E44" s="13">
        <v>23.259623999999999</v>
      </c>
      <c r="F44" s="13">
        <v>23.786752</v>
      </c>
      <c r="G44" s="13">
        <v>23.298932000000001</v>
      </c>
      <c r="H44" s="14">
        <f t="shared" si="5"/>
        <v>23.070365000000002</v>
      </c>
      <c r="I44" s="2">
        <f t="shared" si="4"/>
        <v>3.1829999999999998E-4</v>
      </c>
    </row>
    <row r="45" spans="1:9" x14ac:dyDescent="0.2">
      <c r="A45" s="26">
        <v>43</v>
      </c>
      <c r="B45" s="26" t="s">
        <v>52</v>
      </c>
      <c r="C45" s="26" t="s">
        <v>53</v>
      </c>
      <c r="D45" s="13">
        <v>2.7890320000000002</v>
      </c>
      <c r="E45" s="13">
        <v>2.6968559999999999</v>
      </c>
      <c r="F45" s="13">
        <v>2.8553799999999998</v>
      </c>
      <c r="G45" s="13">
        <v>2.8057599999999998</v>
      </c>
      <c r="H45" s="14">
        <f t="shared" si="5"/>
        <v>2.7867569999999997</v>
      </c>
      <c r="I45" s="2">
        <f t="shared" si="4"/>
        <v>3.8399999999999998E-5</v>
      </c>
    </row>
    <row r="46" spans="1:9" x14ac:dyDescent="0.2">
      <c r="A46" s="26">
        <v>44</v>
      </c>
      <c r="B46" s="26" t="s">
        <v>54</v>
      </c>
      <c r="C46" s="26" t="s">
        <v>55</v>
      </c>
      <c r="D46" s="13">
        <v>9.144304</v>
      </c>
      <c r="E46" s="13">
        <v>9.4300479999999993</v>
      </c>
      <c r="F46" s="13">
        <v>9.9129000000000005</v>
      </c>
      <c r="G46" s="13">
        <v>10.305160000000001</v>
      </c>
      <c r="H46" s="14">
        <f t="shared" si="5"/>
        <v>9.6981029999999997</v>
      </c>
      <c r="I46" s="2">
        <f t="shared" si="4"/>
        <v>1.338E-4</v>
      </c>
    </row>
    <row r="47" spans="1:9" x14ac:dyDescent="0.2">
      <c r="A47" s="26">
        <v>45</v>
      </c>
      <c r="B47" s="26" t="s">
        <v>56</v>
      </c>
      <c r="C47" s="26" t="s">
        <v>57</v>
      </c>
      <c r="D47" s="13">
        <v>24.664624</v>
      </c>
      <c r="E47" s="13">
        <v>25.066376000000002</v>
      </c>
      <c r="F47" s="13">
        <v>26.183123999999999</v>
      </c>
      <c r="G47" s="13">
        <v>26.313296000000001</v>
      </c>
      <c r="H47" s="14">
        <f t="shared" si="5"/>
        <v>25.556854999999999</v>
      </c>
      <c r="I47" s="2">
        <f t="shared" si="4"/>
        <v>3.5260000000000001E-4</v>
      </c>
    </row>
    <row r="48" spans="1:9" x14ac:dyDescent="0.2">
      <c r="A48" s="26">
        <v>208</v>
      </c>
      <c r="B48" s="26" t="s">
        <v>275</v>
      </c>
      <c r="C48" s="26" t="s">
        <v>276</v>
      </c>
      <c r="D48" s="13">
        <v>444.11136399999998</v>
      </c>
      <c r="E48" s="13">
        <v>323.65830399999999</v>
      </c>
      <c r="F48" s="13">
        <v>429.36545599999999</v>
      </c>
      <c r="G48" s="13">
        <v>441.31806399999999</v>
      </c>
      <c r="H48" s="14">
        <f t="shared" si="5"/>
        <v>409.61329699999999</v>
      </c>
      <c r="I48" s="2">
        <f t="shared" si="4"/>
        <v>5.6506000000000004E-3</v>
      </c>
    </row>
    <row r="49" spans="1:9" x14ac:dyDescent="0.2">
      <c r="A49" s="26">
        <v>46</v>
      </c>
      <c r="B49" s="26" t="s">
        <v>58</v>
      </c>
      <c r="C49" s="26" t="s">
        <v>59</v>
      </c>
      <c r="D49" s="13">
        <v>12.190759999999999</v>
      </c>
      <c r="E49" s="13">
        <v>12.118</v>
      </c>
      <c r="F49" s="13">
        <v>12.683308</v>
      </c>
      <c r="G49" s="13">
        <v>12.918976000000001</v>
      </c>
      <c r="H49" s="14">
        <f t="shared" si="5"/>
        <v>12.477761000000001</v>
      </c>
      <c r="I49" s="2">
        <f t="shared" si="4"/>
        <v>1.7210000000000001E-4</v>
      </c>
    </row>
    <row r="50" spans="1:9" x14ac:dyDescent="0.2">
      <c r="A50" s="26">
        <v>47</v>
      </c>
      <c r="B50" s="26" t="s">
        <v>60</v>
      </c>
      <c r="C50" s="26" t="s">
        <v>61</v>
      </c>
      <c r="D50" s="13">
        <v>5.1822480000000004</v>
      </c>
      <c r="E50" s="13">
        <v>5.7006079999999999</v>
      </c>
      <c r="F50" s="13">
        <v>5.6850240000000003</v>
      </c>
      <c r="G50" s="13">
        <v>5.6888040000000002</v>
      </c>
      <c r="H50" s="14">
        <f t="shared" si="5"/>
        <v>5.5641710000000009</v>
      </c>
      <c r="I50" s="2">
        <f t="shared" si="4"/>
        <v>7.6799999999999997E-5</v>
      </c>
    </row>
    <row r="51" spans="1:9" x14ac:dyDescent="0.2">
      <c r="A51" s="26">
        <v>48</v>
      </c>
      <c r="B51" s="26" t="s">
        <v>62</v>
      </c>
      <c r="C51" s="26" t="s">
        <v>63</v>
      </c>
      <c r="D51" s="13">
        <v>2.236084</v>
      </c>
      <c r="E51" s="13">
        <v>2.2385679999999999</v>
      </c>
      <c r="F51" s="13">
        <v>2.4124240000000001</v>
      </c>
      <c r="G51" s="13">
        <v>2.3828680000000002</v>
      </c>
      <c r="H51" s="14">
        <f t="shared" si="5"/>
        <v>2.3174860000000002</v>
      </c>
      <c r="I51" s="2">
        <f t="shared" si="4"/>
        <v>3.1999999999999999E-5</v>
      </c>
    </row>
    <row r="52" spans="1:9" x14ac:dyDescent="0.2">
      <c r="A52" s="26">
        <v>121</v>
      </c>
      <c r="B52" s="26" t="s">
        <v>163</v>
      </c>
      <c r="C52" s="26" t="s">
        <v>164</v>
      </c>
      <c r="D52" s="13">
        <v>18.477836</v>
      </c>
      <c r="E52" s="13">
        <v>19.742356000000001</v>
      </c>
      <c r="F52" s="13">
        <v>20.041907999999999</v>
      </c>
      <c r="G52" s="13">
        <v>20.411396</v>
      </c>
      <c r="H52" s="14">
        <f t="shared" si="5"/>
        <v>19.668374</v>
      </c>
      <c r="I52" s="2">
        <f t="shared" si="4"/>
        <v>2.7129999999999998E-4</v>
      </c>
    </row>
    <row r="53" spans="1:9" x14ac:dyDescent="0.2">
      <c r="A53" s="26">
        <v>49</v>
      </c>
      <c r="B53" s="26" t="s">
        <v>64</v>
      </c>
      <c r="C53" s="26" t="s">
        <v>65</v>
      </c>
      <c r="D53" s="13">
        <v>122.964624</v>
      </c>
      <c r="E53" s="13">
        <v>121.73042</v>
      </c>
      <c r="F53" s="13">
        <v>127.89755599999999</v>
      </c>
      <c r="G53" s="13">
        <v>128.90863200000001</v>
      </c>
      <c r="H53" s="14">
        <f t="shared" si="5"/>
        <v>125.375308</v>
      </c>
      <c r="I53" s="2">
        <f t="shared" si="4"/>
        <v>1.7294999999999999E-3</v>
      </c>
    </row>
    <row r="54" spans="1:9" x14ac:dyDescent="0.2">
      <c r="A54" s="26">
        <v>50</v>
      </c>
      <c r="B54" s="26" t="s">
        <v>66</v>
      </c>
      <c r="C54" s="26" t="s">
        <v>67</v>
      </c>
      <c r="D54" s="13">
        <v>8.2970559999999995</v>
      </c>
      <c r="E54" s="13">
        <v>8.9856920000000002</v>
      </c>
      <c r="F54" s="13">
        <v>9.3415079999999993</v>
      </c>
      <c r="G54" s="13">
        <v>9.4010440000000006</v>
      </c>
      <c r="H54" s="14">
        <f t="shared" si="5"/>
        <v>9.0063249999999986</v>
      </c>
      <c r="I54" s="2">
        <f t="shared" si="4"/>
        <v>1.2420000000000001E-4</v>
      </c>
    </row>
    <row r="55" spans="1:9" x14ac:dyDescent="0.2">
      <c r="A55" s="26">
        <v>51</v>
      </c>
      <c r="B55" s="26" t="s">
        <v>68</v>
      </c>
      <c r="C55" s="26" t="s">
        <v>69</v>
      </c>
      <c r="D55" s="13">
        <v>13.027355999999999</v>
      </c>
      <c r="E55" s="13">
        <v>14.602864</v>
      </c>
      <c r="F55" s="13">
        <v>14.188359999999999</v>
      </c>
      <c r="G55" s="13">
        <v>14.705448000000001</v>
      </c>
      <c r="H55" s="14">
        <f t="shared" si="5"/>
        <v>14.131007</v>
      </c>
      <c r="I55" s="2">
        <f t="shared" si="4"/>
        <v>1.9489999999999999E-4</v>
      </c>
    </row>
    <row r="56" spans="1:9" x14ac:dyDescent="0.2">
      <c r="A56" s="26">
        <v>52</v>
      </c>
      <c r="B56" s="26" t="s">
        <v>70</v>
      </c>
      <c r="C56" s="26" t="s">
        <v>71</v>
      </c>
      <c r="D56" s="13">
        <v>12.973812000000001</v>
      </c>
      <c r="E56" s="13">
        <v>12.723464</v>
      </c>
      <c r="F56" s="13">
        <v>13.549612</v>
      </c>
      <c r="G56" s="13">
        <v>11.844856</v>
      </c>
      <c r="H56" s="14">
        <f t="shared" si="5"/>
        <v>12.772936</v>
      </c>
      <c r="I56" s="2">
        <f t="shared" si="4"/>
        <v>1.762E-4</v>
      </c>
    </row>
    <row r="57" spans="1:9" x14ac:dyDescent="0.2">
      <c r="A57" s="26">
        <v>53</v>
      </c>
      <c r="B57" s="26" t="s">
        <v>72</v>
      </c>
      <c r="C57" s="26" t="s">
        <v>73</v>
      </c>
      <c r="D57" s="13">
        <v>64.463104000000001</v>
      </c>
      <c r="E57" s="13">
        <v>63.948763999999997</v>
      </c>
      <c r="F57" s="13">
        <v>66.164156000000006</v>
      </c>
      <c r="G57" s="13">
        <v>66.894632000000001</v>
      </c>
      <c r="H57" s="14">
        <f t="shared" si="5"/>
        <v>65.367664000000005</v>
      </c>
      <c r="I57" s="2">
        <f t="shared" si="4"/>
        <v>9.0169999999999996E-4</v>
      </c>
    </row>
    <row r="58" spans="1:9" x14ac:dyDescent="0.2">
      <c r="A58" s="26">
        <v>54</v>
      </c>
      <c r="B58" s="26" t="s">
        <v>211</v>
      </c>
      <c r="C58" s="26" t="s">
        <v>74</v>
      </c>
      <c r="D58" s="13">
        <v>6.6334200000000001</v>
      </c>
      <c r="E58" s="13">
        <v>6.9111399999999996</v>
      </c>
      <c r="F58" s="13">
        <v>7.2337400000000001</v>
      </c>
      <c r="G58" s="13">
        <v>6.9237200000000003</v>
      </c>
      <c r="H58" s="14">
        <f t="shared" si="5"/>
        <v>6.9255050000000002</v>
      </c>
      <c r="I58" s="2">
        <f t="shared" si="4"/>
        <v>9.5500000000000004E-5</v>
      </c>
    </row>
    <row r="59" spans="1:9" x14ac:dyDescent="0.2">
      <c r="A59" s="26">
        <v>55</v>
      </c>
      <c r="B59" s="26" t="s">
        <v>75</v>
      </c>
      <c r="C59" s="26" t="s">
        <v>76</v>
      </c>
      <c r="D59" s="13">
        <v>9.9229839999999996</v>
      </c>
      <c r="E59" s="13">
        <v>9.4267800000000008</v>
      </c>
      <c r="F59" s="13">
        <v>9.7329080000000001</v>
      </c>
      <c r="G59" s="13">
        <v>10.232735999999999</v>
      </c>
      <c r="H59" s="14">
        <f t="shared" si="5"/>
        <v>9.8288520000000013</v>
      </c>
      <c r="I59" s="2">
        <f t="shared" si="4"/>
        <v>1.3559999999999999E-4</v>
      </c>
    </row>
    <row r="60" spans="1:9" x14ac:dyDescent="0.2">
      <c r="A60" s="26">
        <v>56</v>
      </c>
      <c r="B60" s="26" t="s">
        <v>77</v>
      </c>
      <c r="C60" s="26" t="s">
        <v>78</v>
      </c>
      <c r="D60" s="13">
        <v>9.3199360000000002</v>
      </c>
      <c r="E60" s="13">
        <v>9.6223679999999998</v>
      </c>
      <c r="F60" s="13">
        <v>9.7349920000000001</v>
      </c>
      <c r="G60" s="13">
        <v>10.109947999999999</v>
      </c>
      <c r="H60" s="14">
        <f t="shared" si="5"/>
        <v>9.6968110000000003</v>
      </c>
      <c r="I60" s="2">
        <f t="shared" si="4"/>
        <v>1.338E-4</v>
      </c>
    </row>
    <row r="61" spans="1:9" x14ac:dyDescent="0.2">
      <c r="A61" s="26">
        <v>57</v>
      </c>
      <c r="B61" s="26" t="s">
        <v>79</v>
      </c>
      <c r="C61" s="26" t="s">
        <v>80</v>
      </c>
      <c r="D61" s="13">
        <v>4.4977720000000003</v>
      </c>
      <c r="E61" s="13">
        <v>4.4675840000000004</v>
      </c>
      <c r="F61" s="13">
        <v>4.3916519999999997</v>
      </c>
      <c r="G61" s="13">
        <v>4.4173879999999999</v>
      </c>
      <c r="H61" s="14">
        <f t="shared" si="5"/>
        <v>4.4435989999999999</v>
      </c>
      <c r="I61" s="2">
        <f t="shared" si="4"/>
        <v>6.1299999999999999E-5</v>
      </c>
    </row>
    <row r="62" spans="1:9" x14ac:dyDescent="0.2">
      <c r="A62" s="26">
        <v>58</v>
      </c>
      <c r="B62" s="26" t="s">
        <v>81</v>
      </c>
      <c r="C62" s="26" t="s">
        <v>82</v>
      </c>
      <c r="D62" s="13">
        <v>7.2806360000000003</v>
      </c>
      <c r="E62" s="13">
        <v>7.0503439999999999</v>
      </c>
      <c r="F62" s="13">
        <v>7.5882680000000002</v>
      </c>
      <c r="G62" s="13">
        <v>4.5271080000000001</v>
      </c>
      <c r="H62" s="14">
        <f t="shared" si="5"/>
        <v>6.6115890000000004</v>
      </c>
      <c r="I62" s="2">
        <f t="shared" si="4"/>
        <v>9.1199999999999994E-5</v>
      </c>
    </row>
    <row r="63" spans="1:9" x14ac:dyDescent="0.2">
      <c r="A63" s="26">
        <v>59</v>
      </c>
      <c r="B63" s="26" t="s">
        <v>212</v>
      </c>
      <c r="C63" s="26" t="s">
        <v>83</v>
      </c>
      <c r="D63" s="13">
        <v>7.5953119999999998</v>
      </c>
      <c r="E63" s="13">
        <v>9.0276440000000004</v>
      </c>
      <c r="F63" s="13">
        <v>8.9056960000000007</v>
      </c>
      <c r="G63" s="13">
        <v>9.2314919999999994</v>
      </c>
      <c r="H63" s="14">
        <f t="shared" si="5"/>
        <v>8.6900359999999992</v>
      </c>
      <c r="I63" s="2">
        <f t="shared" si="4"/>
        <v>1.199E-4</v>
      </c>
    </row>
    <row r="64" spans="1:9" x14ac:dyDescent="0.2">
      <c r="A64" s="26">
        <v>60</v>
      </c>
      <c r="B64" s="26" t="s">
        <v>84</v>
      </c>
      <c r="C64" s="26" t="s">
        <v>85</v>
      </c>
      <c r="D64" s="13">
        <v>18.848372000000001</v>
      </c>
      <c r="E64" s="13">
        <v>18.660015999999999</v>
      </c>
      <c r="F64" s="13">
        <v>19.774080000000001</v>
      </c>
      <c r="G64" s="13">
        <v>20.690215999999999</v>
      </c>
      <c r="H64" s="14">
        <f t="shared" si="5"/>
        <v>19.493170999999997</v>
      </c>
      <c r="I64" s="2">
        <f t="shared" si="4"/>
        <v>2.6889999999999998E-4</v>
      </c>
    </row>
    <row r="65" spans="1:9" x14ac:dyDescent="0.2">
      <c r="A65" s="26">
        <v>61</v>
      </c>
      <c r="B65" s="26" t="s">
        <v>86</v>
      </c>
      <c r="C65" s="26" t="s">
        <v>87</v>
      </c>
      <c r="D65" s="13">
        <v>25.479036000000001</v>
      </c>
      <c r="E65" s="13">
        <v>27.107195999999998</v>
      </c>
      <c r="F65" s="13">
        <v>25.859819999999999</v>
      </c>
      <c r="G65" s="13">
        <v>24.163419999999999</v>
      </c>
      <c r="H65" s="14">
        <f t="shared" si="5"/>
        <v>25.652367999999999</v>
      </c>
      <c r="I65" s="2">
        <f t="shared" si="4"/>
        <v>3.5389999999999998E-4</v>
      </c>
    </row>
    <row r="66" spans="1:9" x14ac:dyDescent="0.2">
      <c r="A66" s="26">
        <v>62</v>
      </c>
      <c r="B66" s="26" t="s">
        <v>213</v>
      </c>
      <c r="C66" s="26" t="s">
        <v>88</v>
      </c>
      <c r="D66" s="13">
        <v>44.260480000000001</v>
      </c>
      <c r="E66" s="13">
        <v>51.933340000000001</v>
      </c>
      <c r="F66" s="13">
        <v>47.342883999999998</v>
      </c>
      <c r="G66" s="13">
        <v>50.395232</v>
      </c>
      <c r="H66" s="14">
        <f t="shared" si="5"/>
        <v>48.482983999999995</v>
      </c>
      <c r="I66" s="2">
        <f t="shared" si="4"/>
        <v>6.6879999999999999E-4</v>
      </c>
    </row>
    <row r="67" spans="1:9" x14ac:dyDescent="0.2">
      <c r="A67" s="26">
        <v>63</v>
      </c>
      <c r="B67" s="26" t="s">
        <v>89</v>
      </c>
      <c r="C67" s="26" t="s">
        <v>90</v>
      </c>
      <c r="D67" s="13">
        <v>63.252631999999998</v>
      </c>
      <c r="E67" s="13">
        <v>56.373919999999998</v>
      </c>
      <c r="F67" s="13">
        <v>55.125827999999998</v>
      </c>
      <c r="G67" s="13">
        <v>63.748860000000001</v>
      </c>
      <c r="H67" s="14">
        <f t="shared" si="5"/>
        <v>59.625310000000006</v>
      </c>
      <c r="I67" s="2">
        <f t="shared" si="4"/>
        <v>8.2249999999999999E-4</v>
      </c>
    </row>
    <row r="68" spans="1:9" x14ac:dyDescent="0.2">
      <c r="A68" s="26">
        <v>64</v>
      </c>
      <c r="B68" s="26" t="s">
        <v>214</v>
      </c>
      <c r="C68" s="26" t="s">
        <v>91</v>
      </c>
      <c r="D68" s="13">
        <v>64.888611999999995</v>
      </c>
      <c r="E68" s="13">
        <v>74.044263999999998</v>
      </c>
      <c r="F68" s="13">
        <v>75.26182</v>
      </c>
      <c r="G68" s="13">
        <v>72.887808000000007</v>
      </c>
      <c r="H68" s="14">
        <f t="shared" si="5"/>
        <v>71.770625999999993</v>
      </c>
      <c r="I68" s="2">
        <f t="shared" ref="I68:I99" si="6">ROUND(H68/H$143,7)</f>
        <v>9.9010000000000005E-4</v>
      </c>
    </row>
    <row r="69" spans="1:9" x14ac:dyDescent="0.2">
      <c r="A69" s="26">
        <v>122</v>
      </c>
      <c r="B69" s="26" t="s">
        <v>201</v>
      </c>
      <c r="C69" s="26" t="s">
        <v>165</v>
      </c>
      <c r="D69" s="15">
        <v>4656.3902840000001</v>
      </c>
      <c r="E69" s="15">
        <v>4556.2549360000003</v>
      </c>
      <c r="F69" s="15">
        <v>4675.8871600000002</v>
      </c>
      <c r="G69" s="15">
        <v>4761.149676</v>
      </c>
      <c r="H69" s="14">
        <f t="shared" ref="H69:H100" si="7">AVERAGE(D69:G69)</f>
        <v>4662.4205140000004</v>
      </c>
      <c r="I69" s="2">
        <f t="shared" si="6"/>
        <v>6.4317799999999994E-2</v>
      </c>
    </row>
    <row r="70" spans="1:9" x14ac:dyDescent="0.2">
      <c r="A70" s="26">
        <v>198</v>
      </c>
      <c r="B70" s="26" t="s">
        <v>242</v>
      </c>
      <c r="C70" s="26" t="s">
        <v>243</v>
      </c>
      <c r="D70" s="13">
        <v>0</v>
      </c>
      <c r="E70" s="13">
        <v>0</v>
      </c>
      <c r="F70" s="13">
        <v>0</v>
      </c>
      <c r="G70" s="13">
        <v>0</v>
      </c>
      <c r="H70" s="14">
        <f t="shared" si="7"/>
        <v>0</v>
      </c>
      <c r="I70" s="2">
        <f t="shared" si="6"/>
        <v>0</v>
      </c>
    </row>
    <row r="71" spans="1:9" x14ac:dyDescent="0.2">
      <c r="A71" s="26">
        <v>66</v>
      </c>
      <c r="B71" s="26" t="s">
        <v>215</v>
      </c>
      <c r="C71" s="26" t="s">
        <v>92</v>
      </c>
      <c r="D71" s="13">
        <v>14.228712</v>
      </c>
      <c r="E71" s="13">
        <v>15.397812</v>
      </c>
      <c r="F71" s="13">
        <v>14.273304</v>
      </c>
      <c r="G71" s="13">
        <v>15.519196000000001</v>
      </c>
      <c r="H71" s="14">
        <f t="shared" si="7"/>
        <v>14.854756</v>
      </c>
      <c r="I71" s="2">
        <f t="shared" si="6"/>
        <v>2.0489999999999999E-4</v>
      </c>
    </row>
    <row r="72" spans="1:9" x14ac:dyDescent="0.2">
      <c r="A72" s="26">
        <v>67</v>
      </c>
      <c r="B72" s="26" t="s">
        <v>216</v>
      </c>
      <c r="C72" s="26" t="s">
        <v>93</v>
      </c>
      <c r="D72" s="13">
        <v>1317.175876</v>
      </c>
      <c r="E72" s="13">
        <v>1547.230904</v>
      </c>
      <c r="F72" s="13">
        <v>1518.1002880000001</v>
      </c>
      <c r="G72" s="13">
        <v>1565.5150639999999</v>
      </c>
      <c r="H72" s="14">
        <f t="shared" si="7"/>
        <v>1487.0055330000002</v>
      </c>
      <c r="I72" s="2">
        <f t="shared" si="6"/>
        <v>2.0513199999999999E-2</v>
      </c>
    </row>
    <row r="73" spans="1:9" x14ac:dyDescent="0.2">
      <c r="A73" s="26">
        <v>123</v>
      </c>
      <c r="B73" s="26" t="s">
        <v>166</v>
      </c>
      <c r="C73" s="26" t="s">
        <v>202</v>
      </c>
      <c r="D73" s="15">
        <v>311.52809600000001</v>
      </c>
      <c r="E73" s="15">
        <v>348.57629600000001</v>
      </c>
      <c r="F73" s="15">
        <v>351.94278800000001</v>
      </c>
      <c r="G73" s="15">
        <v>357.47930000000002</v>
      </c>
      <c r="H73" s="14">
        <f t="shared" si="7"/>
        <v>342.38162</v>
      </c>
      <c r="I73" s="2">
        <f t="shared" si="6"/>
        <v>4.7231E-3</v>
      </c>
    </row>
    <row r="74" spans="1:9" x14ac:dyDescent="0.2">
      <c r="A74" s="26">
        <v>193</v>
      </c>
      <c r="B74" s="26" t="s">
        <v>262</v>
      </c>
      <c r="C74" s="26" t="s">
        <v>238</v>
      </c>
      <c r="D74" s="13">
        <v>0</v>
      </c>
      <c r="E74" s="13">
        <v>0</v>
      </c>
      <c r="F74" s="13">
        <v>0</v>
      </c>
      <c r="G74" s="13">
        <v>0</v>
      </c>
      <c r="H74" s="14">
        <f t="shared" si="7"/>
        <v>0</v>
      </c>
      <c r="I74" s="2">
        <f t="shared" si="6"/>
        <v>0</v>
      </c>
    </row>
    <row r="75" spans="1:9" x14ac:dyDescent="0.2">
      <c r="A75" s="26">
        <v>69</v>
      </c>
      <c r="B75" s="26" t="s">
        <v>94</v>
      </c>
      <c r="C75" s="26" t="s">
        <v>95</v>
      </c>
      <c r="D75" s="15">
        <v>34.574992000000002</v>
      </c>
      <c r="E75" s="15">
        <v>42.89152</v>
      </c>
      <c r="F75" s="13">
        <v>40.836044000000001</v>
      </c>
      <c r="G75" s="13">
        <v>42.648524000000002</v>
      </c>
      <c r="H75" s="14">
        <f t="shared" si="7"/>
        <v>40.237769999999998</v>
      </c>
      <c r="I75" s="2">
        <f t="shared" si="6"/>
        <v>5.5509999999999999E-4</v>
      </c>
    </row>
    <row r="76" spans="1:9" x14ac:dyDescent="0.2">
      <c r="A76" s="26">
        <v>215</v>
      </c>
      <c r="B76" s="26" t="s">
        <v>277</v>
      </c>
      <c r="C76" s="26" t="s">
        <v>278</v>
      </c>
      <c r="D76" s="13">
        <v>3.9980000000000002E-2</v>
      </c>
      <c r="E76" s="13">
        <v>9.0695999999999999E-2</v>
      </c>
      <c r="F76" s="13">
        <v>9.7351999999999994E-2</v>
      </c>
      <c r="G76" s="13">
        <v>5.3831999999999998E-2</v>
      </c>
      <c r="H76" s="14">
        <f t="shared" si="7"/>
        <v>7.0465E-2</v>
      </c>
      <c r="I76" s="2">
        <f t="shared" si="6"/>
        <v>9.9999999999999995E-7</v>
      </c>
    </row>
    <row r="77" spans="1:9" x14ac:dyDescent="0.2">
      <c r="A77" s="26">
        <v>205</v>
      </c>
      <c r="B77" s="26" t="s">
        <v>258</v>
      </c>
      <c r="C77" s="26" t="s">
        <v>259</v>
      </c>
      <c r="D77" s="13">
        <v>4.9000000000000002E-2</v>
      </c>
      <c r="E77" s="13">
        <v>5.3103999999999998E-2</v>
      </c>
      <c r="F77" s="13">
        <v>5.3108000000000002E-2</v>
      </c>
      <c r="G77" s="13">
        <v>5.3103999999999998E-2</v>
      </c>
      <c r="H77" s="14">
        <f t="shared" si="7"/>
        <v>5.2079E-2</v>
      </c>
      <c r="I77" s="2">
        <f t="shared" si="6"/>
        <v>6.9999999999999997E-7</v>
      </c>
    </row>
    <row r="78" spans="1:9" x14ac:dyDescent="0.2">
      <c r="A78" s="26">
        <v>70</v>
      </c>
      <c r="B78" s="26" t="s">
        <v>96</v>
      </c>
      <c r="C78" s="26" t="s">
        <v>97</v>
      </c>
      <c r="D78" s="15">
        <v>285.16416800000002</v>
      </c>
      <c r="E78" s="13">
        <v>331.02159599999999</v>
      </c>
      <c r="F78" s="13">
        <v>317.21789200000001</v>
      </c>
      <c r="G78" s="13">
        <v>332.83998800000001</v>
      </c>
      <c r="H78" s="14">
        <f>AVERAGE(D78:G78)</f>
        <v>316.56091100000003</v>
      </c>
      <c r="I78" s="2">
        <f t="shared" si="6"/>
        <v>4.3668999999999999E-3</v>
      </c>
    </row>
    <row r="79" spans="1:9" x14ac:dyDescent="0.2">
      <c r="A79" s="26">
        <v>202</v>
      </c>
      <c r="B79" s="26" t="s">
        <v>250</v>
      </c>
      <c r="C79" s="26" t="s">
        <v>251</v>
      </c>
      <c r="D79" s="13">
        <v>0.16334000000000001</v>
      </c>
      <c r="E79" s="13">
        <v>0.20424800000000001</v>
      </c>
      <c r="F79" s="13">
        <v>0.163408</v>
      </c>
      <c r="G79" s="13">
        <v>0.204236</v>
      </c>
      <c r="H79" s="14">
        <f t="shared" si="7"/>
        <v>0.183808</v>
      </c>
      <c r="I79" s="2">
        <f t="shared" si="6"/>
        <v>2.5000000000000002E-6</v>
      </c>
    </row>
    <row r="80" spans="1:9" x14ac:dyDescent="0.2">
      <c r="A80" s="26">
        <v>213</v>
      </c>
      <c r="B80" s="26" t="s">
        <v>279</v>
      </c>
      <c r="C80" s="26" t="s">
        <v>280</v>
      </c>
      <c r="D80" s="13">
        <v>0.204176</v>
      </c>
      <c r="E80" s="13">
        <v>0.65358400000000005</v>
      </c>
      <c r="F80" s="13">
        <v>1.981312</v>
      </c>
      <c r="G80" s="13">
        <v>0.89863999999999999</v>
      </c>
      <c r="H80" s="14">
        <f t="shared" si="7"/>
        <v>0.93442799999999993</v>
      </c>
      <c r="I80" s="2">
        <f t="shared" si="6"/>
        <v>1.29E-5</v>
      </c>
    </row>
    <row r="81" spans="1:9" x14ac:dyDescent="0.2">
      <c r="A81" s="26">
        <v>207</v>
      </c>
      <c r="B81" s="26" t="s">
        <v>260</v>
      </c>
      <c r="C81" s="26" t="s">
        <v>261</v>
      </c>
      <c r="D81" s="13">
        <v>1.384304</v>
      </c>
      <c r="E81" s="13">
        <v>1.5604359999999999</v>
      </c>
      <c r="F81" s="13">
        <v>1.4910920000000001</v>
      </c>
      <c r="G81" s="13">
        <v>1.4664200000000001</v>
      </c>
      <c r="H81" s="14">
        <f t="shared" si="7"/>
        <v>1.475563</v>
      </c>
      <c r="I81" s="2">
        <f t="shared" si="6"/>
        <v>2.0400000000000001E-5</v>
      </c>
    </row>
    <row r="82" spans="1:9" x14ac:dyDescent="0.2">
      <c r="A82" s="26">
        <v>71</v>
      </c>
      <c r="B82" s="26" t="s">
        <v>98</v>
      </c>
      <c r="C82" s="26" t="s">
        <v>99</v>
      </c>
      <c r="D82" s="13">
        <v>60.289071999999997</v>
      </c>
      <c r="E82" s="13">
        <v>60.577407999999998</v>
      </c>
      <c r="F82" s="13">
        <v>60.315151999999998</v>
      </c>
      <c r="G82" s="13">
        <v>57.093899999999998</v>
      </c>
      <c r="H82" s="14">
        <f t="shared" si="7"/>
        <v>59.568882999999992</v>
      </c>
      <c r="I82" s="2">
        <f t="shared" si="6"/>
        <v>8.2169999999999997E-4</v>
      </c>
    </row>
    <row r="83" spans="1:9" x14ac:dyDescent="0.2">
      <c r="A83" s="26">
        <v>72</v>
      </c>
      <c r="B83" s="26" t="s">
        <v>100</v>
      </c>
      <c r="C83" s="26" t="s">
        <v>101</v>
      </c>
      <c r="D83" s="13">
        <v>21.418503999999999</v>
      </c>
      <c r="E83" s="13">
        <v>24.275971999999999</v>
      </c>
      <c r="F83" s="13">
        <v>22.274992000000001</v>
      </c>
      <c r="G83" s="13">
        <v>22.890756</v>
      </c>
      <c r="H83" s="14">
        <f t="shared" si="7"/>
        <v>22.715055999999997</v>
      </c>
      <c r="I83" s="2">
        <f t="shared" si="6"/>
        <v>3.1339999999999997E-4</v>
      </c>
    </row>
    <row r="84" spans="1:9" x14ac:dyDescent="0.2">
      <c r="A84" s="26">
        <v>125</v>
      </c>
      <c r="B84" s="26" t="s">
        <v>167</v>
      </c>
      <c r="C84" s="26" t="s">
        <v>168</v>
      </c>
      <c r="D84" s="13">
        <v>100.017852</v>
      </c>
      <c r="E84" s="13">
        <v>109.179328</v>
      </c>
      <c r="F84" s="13">
        <v>106.214984</v>
      </c>
      <c r="G84" s="13">
        <v>110.39668</v>
      </c>
      <c r="H84" s="14">
        <f t="shared" si="7"/>
        <v>106.45221100000001</v>
      </c>
      <c r="I84" s="2">
        <f t="shared" si="6"/>
        <v>1.4685E-3</v>
      </c>
    </row>
    <row r="85" spans="1:9" x14ac:dyDescent="0.2">
      <c r="A85" s="26">
        <v>73</v>
      </c>
      <c r="B85" s="26" t="s">
        <v>102</v>
      </c>
      <c r="C85" s="26" t="s">
        <v>103</v>
      </c>
      <c r="D85" s="15">
        <v>19.485811999999999</v>
      </c>
      <c r="E85" s="15">
        <v>21.04504</v>
      </c>
      <c r="F85" s="15">
        <v>20.988084000000001</v>
      </c>
      <c r="G85" s="15">
        <v>21.533944000000002</v>
      </c>
      <c r="H85" s="14">
        <f t="shared" si="7"/>
        <v>20.76322</v>
      </c>
      <c r="I85" s="2">
        <f t="shared" si="6"/>
        <v>2.8640000000000002E-4</v>
      </c>
    </row>
    <row r="86" spans="1:9" x14ac:dyDescent="0.2">
      <c r="A86" s="26">
        <v>177</v>
      </c>
      <c r="B86" s="26" t="s">
        <v>269</v>
      </c>
      <c r="C86" s="26" t="s">
        <v>204</v>
      </c>
      <c r="D86" s="15">
        <v>0.12250800000000001</v>
      </c>
      <c r="E86" s="15">
        <v>0.122548</v>
      </c>
      <c r="F86" s="15">
        <v>8.1703999999999999E-2</v>
      </c>
      <c r="G86" s="15">
        <v>0.122544</v>
      </c>
      <c r="H86" s="14">
        <f t="shared" si="7"/>
        <v>0.112326</v>
      </c>
      <c r="I86" s="2">
        <f t="shared" si="6"/>
        <v>1.5E-6</v>
      </c>
    </row>
    <row r="87" spans="1:9" x14ac:dyDescent="0.2">
      <c r="A87" s="26">
        <v>212</v>
      </c>
      <c r="B87" s="26" t="s">
        <v>270</v>
      </c>
      <c r="C87" s="26" t="s">
        <v>271</v>
      </c>
      <c r="D87" s="13">
        <v>4.0004239999999998</v>
      </c>
      <c r="E87" s="13">
        <v>3.9096199999999999</v>
      </c>
      <c r="F87" s="13">
        <v>3.1162000000000001</v>
      </c>
      <c r="G87" s="13">
        <v>3.5640480000000001</v>
      </c>
      <c r="H87" s="14">
        <f t="shared" si="7"/>
        <v>3.6475729999999995</v>
      </c>
      <c r="I87" s="2">
        <f t="shared" si="6"/>
        <v>5.0300000000000003E-5</v>
      </c>
    </row>
    <row r="88" spans="1:9" x14ac:dyDescent="0.2">
      <c r="A88" s="26">
        <v>74</v>
      </c>
      <c r="B88" s="26" t="s">
        <v>272</v>
      </c>
      <c r="C88" s="26" t="s">
        <v>104</v>
      </c>
      <c r="D88" s="13">
        <v>265.93585999999999</v>
      </c>
      <c r="E88" s="13">
        <v>326.13413600000001</v>
      </c>
      <c r="F88" s="13">
        <v>312.84459199999998</v>
      </c>
      <c r="G88" s="13">
        <v>326.07132000000001</v>
      </c>
      <c r="H88" s="14">
        <f t="shared" si="7"/>
        <v>307.74647699999997</v>
      </c>
      <c r="I88" s="2">
        <f t="shared" si="6"/>
        <v>4.2452999999999996E-3</v>
      </c>
    </row>
    <row r="89" spans="1:9" x14ac:dyDescent="0.2">
      <c r="A89" s="26">
        <v>196</v>
      </c>
      <c r="B89" s="26" t="s">
        <v>239</v>
      </c>
      <c r="C89" s="26" t="s">
        <v>240</v>
      </c>
      <c r="D89" s="13">
        <v>0</v>
      </c>
      <c r="E89" s="13">
        <v>0</v>
      </c>
      <c r="F89" s="13">
        <v>0</v>
      </c>
      <c r="G89" s="13">
        <v>0</v>
      </c>
      <c r="H89" s="14">
        <f t="shared" si="7"/>
        <v>0</v>
      </c>
      <c r="I89" s="2">
        <f t="shared" si="6"/>
        <v>0</v>
      </c>
    </row>
    <row r="90" spans="1:9" x14ac:dyDescent="0.2">
      <c r="A90" s="26">
        <v>75</v>
      </c>
      <c r="B90" s="26" t="s">
        <v>105</v>
      </c>
      <c r="C90" s="26" t="s">
        <v>106</v>
      </c>
      <c r="D90" s="13">
        <v>416.83851199999998</v>
      </c>
      <c r="E90" s="13">
        <v>416.36853200000002</v>
      </c>
      <c r="F90" s="13">
        <v>422.03409199999999</v>
      </c>
      <c r="G90" s="13">
        <v>429.72541999999999</v>
      </c>
      <c r="H90" s="14">
        <f t="shared" si="7"/>
        <v>421.24163900000002</v>
      </c>
      <c r="I90" s="2">
        <f t="shared" si="6"/>
        <v>5.8110000000000002E-3</v>
      </c>
    </row>
    <row r="91" spans="1:9" x14ac:dyDescent="0.2">
      <c r="A91" s="26">
        <v>76</v>
      </c>
      <c r="B91" s="26" t="s">
        <v>217</v>
      </c>
      <c r="C91" s="26" t="s">
        <v>107</v>
      </c>
      <c r="D91" s="13">
        <v>17.028192000000001</v>
      </c>
      <c r="E91" s="13">
        <v>19.368448000000001</v>
      </c>
      <c r="F91" s="13">
        <v>18.832695999999999</v>
      </c>
      <c r="G91" s="13">
        <v>19.320772000000002</v>
      </c>
      <c r="H91" s="14">
        <f t="shared" si="7"/>
        <v>18.637527000000002</v>
      </c>
      <c r="I91" s="2">
        <f t="shared" si="6"/>
        <v>2.5710000000000002E-4</v>
      </c>
    </row>
    <row r="92" spans="1:9" x14ac:dyDescent="0.2">
      <c r="A92" s="26">
        <v>142</v>
      </c>
      <c r="B92" s="26" t="s">
        <v>235</v>
      </c>
      <c r="C92" s="26" t="s">
        <v>182</v>
      </c>
      <c r="D92" s="13">
        <v>36.273648000000001</v>
      </c>
      <c r="E92" s="13">
        <v>40.681260000000002</v>
      </c>
      <c r="F92" s="13">
        <v>40.149996000000002</v>
      </c>
      <c r="G92" s="13">
        <v>40.420687999999998</v>
      </c>
      <c r="H92" s="14">
        <f t="shared" si="7"/>
        <v>39.381398000000004</v>
      </c>
      <c r="I92" s="2">
        <f t="shared" si="6"/>
        <v>5.4330000000000003E-4</v>
      </c>
    </row>
    <row r="93" spans="1:9" x14ac:dyDescent="0.2">
      <c r="A93" s="26">
        <v>172</v>
      </c>
      <c r="B93" s="26" t="s">
        <v>196</v>
      </c>
      <c r="C93" s="26" t="s">
        <v>197</v>
      </c>
      <c r="D93" s="13">
        <v>96.594688000000005</v>
      </c>
      <c r="E93" s="13">
        <v>104.267556</v>
      </c>
      <c r="F93" s="13">
        <v>101.662488</v>
      </c>
      <c r="G93" s="13">
        <v>105.821304</v>
      </c>
      <c r="H93" s="14">
        <f t="shared" si="7"/>
        <v>102.08650899999999</v>
      </c>
      <c r="I93" s="2">
        <f t="shared" si="6"/>
        <v>1.4082999999999999E-3</v>
      </c>
    </row>
    <row r="94" spans="1:9" x14ac:dyDescent="0.2">
      <c r="A94" s="26">
        <v>77</v>
      </c>
      <c r="B94" s="26" t="s">
        <v>108</v>
      </c>
      <c r="C94" s="26" t="s">
        <v>109</v>
      </c>
      <c r="D94" s="13">
        <v>125.940304</v>
      </c>
      <c r="E94" s="13">
        <v>145.42256</v>
      </c>
      <c r="F94" s="13">
        <v>141.06110799999999</v>
      </c>
      <c r="G94" s="13">
        <v>145.29540399999999</v>
      </c>
      <c r="H94" s="14">
        <f t="shared" si="7"/>
        <v>139.429844</v>
      </c>
      <c r="I94" s="2">
        <f t="shared" si="6"/>
        <v>1.9234E-3</v>
      </c>
    </row>
    <row r="95" spans="1:9" x14ac:dyDescent="0.2">
      <c r="A95" s="26">
        <v>78</v>
      </c>
      <c r="B95" s="26" t="s">
        <v>218</v>
      </c>
      <c r="C95" s="26" t="s">
        <v>110</v>
      </c>
      <c r="D95" s="13">
        <v>48.395676000000002</v>
      </c>
      <c r="E95" s="13">
        <v>50.834947999999997</v>
      </c>
      <c r="F95" s="13">
        <v>55.474336000000001</v>
      </c>
      <c r="G95" s="13">
        <v>57.44388</v>
      </c>
      <c r="H95" s="14">
        <f t="shared" si="7"/>
        <v>53.037210000000002</v>
      </c>
      <c r="I95" s="2">
        <f t="shared" si="6"/>
        <v>7.316E-4</v>
      </c>
    </row>
    <row r="96" spans="1:9" x14ac:dyDescent="0.2">
      <c r="A96" s="26">
        <v>79</v>
      </c>
      <c r="B96" s="26" t="s">
        <v>219</v>
      </c>
      <c r="C96" s="26" t="s">
        <v>111</v>
      </c>
      <c r="D96" s="13">
        <v>17.118767999999999</v>
      </c>
      <c r="E96" s="13">
        <v>19.174327999999999</v>
      </c>
      <c r="F96" s="13">
        <v>18.085723999999999</v>
      </c>
      <c r="G96" s="13">
        <v>18.966843999999998</v>
      </c>
      <c r="H96" s="14">
        <f t="shared" si="7"/>
        <v>18.336416</v>
      </c>
      <c r="I96" s="2">
        <f t="shared" si="6"/>
        <v>2.5290000000000002E-4</v>
      </c>
    </row>
    <row r="97" spans="1:9" x14ac:dyDescent="0.2">
      <c r="A97" s="26">
        <v>126</v>
      </c>
      <c r="B97" s="26" t="s">
        <v>230</v>
      </c>
      <c r="C97" s="26" t="s">
        <v>169</v>
      </c>
      <c r="D97" s="13">
        <v>81.941980000000001</v>
      </c>
      <c r="E97" s="13">
        <v>85.491587999999993</v>
      </c>
      <c r="F97" s="13">
        <v>83.549071999999995</v>
      </c>
      <c r="G97" s="13">
        <v>73.815380000000005</v>
      </c>
      <c r="H97" s="14">
        <f t="shared" si="7"/>
        <v>81.199504999999988</v>
      </c>
      <c r="I97" s="2">
        <f t="shared" si="6"/>
        <v>1.1201E-3</v>
      </c>
    </row>
    <row r="98" spans="1:9" x14ac:dyDescent="0.2">
      <c r="A98" s="26">
        <v>80</v>
      </c>
      <c r="B98" s="26" t="s">
        <v>220</v>
      </c>
      <c r="C98" s="26" t="s">
        <v>112</v>
      </c>
      <c r="D98" s="13">
        <v>1.2956160000000001</v>
      </c>
      <c r="E98" s="13">
        <v>1.5333079999999999</v>
      </c>
      <c r="F98" s="13">
        <v>1.537336</v>
      </c>
      <c r="G98" s="13">
        <v>1.5783400000000001</v>
      </c>
      <c r="H98" s="14">
        <f t="shared" si="7"/>
        <v>1.4861499999999999</v>
      </c>
      <c r="I98" s="2">
        <f t="shared" si="6"/>
        <v>2.05E-5</v>
      </c>
    </row>
    <row r="99" spans="1:9" x14ac:dyDescent="0.2">
      <c r="A99" s="26">
        <v>127</v>
      </c>
      <c r="B99" s="26" t="s">
        <v>231</v>
      </c>
      <c r="C99" s="26" t="s">
        <v>170</v>
      </c>
      <c r="D99" s="13">
        <v>176.02573599999999</v>
      </c>
      <c r="E99" s="13">
        <v>156.797776</v>
      </c>
      <c r="F99" s="13">
        <v>165.979748</v>
      </c>
      <c r="G99" s="13">
        <v>174.03529599999999</v>
      </c>
      <c r="H99" s="14">
        <f t="shared" si="7"/>
        <v>168.20963900000001</v>
      </c>
      <c r="I99" s="2">
        <f t="shared" si="6"/>
        <v>2.3203999999999998E-3</v>
      </c>
    </row>
    <row r="100" spans="1:9" x14ac:dyDescent="0.2">
      <c r="A100" s="26">
        <v>81</v>
      </c>
      <c r="B100" s="26" t="s">
        <v>113</v>
      </c>
      <c r="C100" s="26" t="s">
        <v>114</v>
      </c>
      <c r="D100" s="13">
        <v>102.635452</v>
      </c>
      <c r="E100" s="13">
        <v>107.021248</v>
      </c>
      <c r="F100" s="13">
        <v>106.97750000000001</v>
      </c>
      <c r="G100" s="13">
        <v>106.57366</v>
      </c>
      <c r="H100" s="14">
        <f t="shared" si="7"/>
        <v>105.80196500000001</v>
      </c>
      <c r="I100" s="2">
        <f t="shared" ref="I100:I131" si="8">ROUND(H100/H$143,7)</f>
        <v>1.4595000000000001E-3</v>
      </c>
    </row>
    <row r="101" spans="1:9" x14ac:dyDescent="0.2">
      <c r="A101" s="26">
        <v>82</v>
      </c>
      <c r="B101" s="26" t="s">
        <v>115</v>
      </c>
      <c r="C101" s="26" t="s">
        <v>116</v>
      </c>
      <c r="D101" s="13">
        <v>44.824088000000003</v>
      </c>
      <c r="E101" s="13">
        <v>55.282384</v>
      </c>
      <c r="F101" s="13">
        <v>52.383735999999999</v>
      </c>
      <c r="G101" s="13">
        <v>54.512892000000001</v>
      </c>
      <c r="H101" s="14">
        <f t="shared" ref="H101:H130" si="9">AVERAGE(D101:G101)</f>
        <v>51.750774999999997</v>
      </c>
      <c r="I101" s="2">
        <f t="shared" si="8"/>
        <v>7.1389999999999995E-4</v>
      </c>
    </row>
    <row r="102" spans="1:9" x14ac:dyDescent="0.2">
      <c r="A102" s="26">
        <v>182</v>
      </c>
      <c r="B102" s="26" t="s">
        <v>205</v>
      </c>
      <c r="C102" s="26" t="s">
        <v>206</v>
      </c>
      <c r="D102" s="13">
        <v>2.173432</v>
      </c>
      <c r="E102" s="13">
        <v>2.0211039999999998</v>
      </c>
      <c r="F102" s="13">
        <v>2.0250240000000002</v>
      </c>
      <c r="G102" s="13">
        <v>1.7780199999999999</v>
      </c>
      <c r="H102" s="14">
        <f t="shared" si="9"/>
        <v>1.9993949999999998</v>
      </c>
      <c r="I102" s="2">
        <f t="shared" si="8"/>
        <v>2.76E-5</v>
      </c>
    </row>
    <row r="103" spans="1:9" x14ac:dyDescent="0.2">
      <c r="A103" s="26">
        <v>83</v>
      </c>
      <c r="B103" s="26" t="s">
        <v>117</v>
      </c>
      <c r="C103" s="26" t="s">
        <v>118</v>
      </c>
      <c r="D103" s="13">
        <v>3.8937200000000001</v>
      </c>
      <c r="E103" s="13">
        <v>3.7609720000000002</v>
      </c>
      <c r="F103" s="13">
        <v>4.6264719999999997</v>
      </c>
      <c r="G103" s="13">
        <v>4.6857559999999996</v>
      </c>
      <c r="H103" s="14">
        <f t="shared" si="9"/>
        <v>4.2417300000000004</v>
      </c>
      <c r="I103" s="2">
        <f t="shared" si="8"/>
        <v>5.8499999999999999E-5</v>
      </c>
    </row>
    <row r="104" spans="1:9" x14ac:dyDescent="0.2">
      <c r="A104" s="26">
        <v>85</v>
      </c>
      <c r="B104" s="26" t="s">
        <v>119</v>
      </c>
      <c r="C104" s="26" t="s">
        <v>120</v>
      </c>
      <c r="D104" s="13">
        <v>29.693168</v>
      </c>
      <c r="E104" s="13">
        <v>31.624324000000001</v>
      </c>
      <c r="F104" s="13">
        <v>33.682332000000002</v>
      </c>
      <c r="G104" s="13">
        <v>33.296672000000001</v>
      </c>
      <c r="H104" s="14">
        <f t="shared" si="9"/>
        <v>32.074123999999998</v>
      </c>
      <c r="I104" s="2">
        <f t="shared" si="8"/>
        <v>4.4250000000000002E-4</v>
      </c>
    </row>
    <row r="105" spans="1:9" x14ac:dyDescent="0.2">
      <c r="A105" s="26">
        <v>86</v>
      </c>
      <c r="B105" s="26" t="s">
        <v>121</v>
      </c>
      <c r="C105" s="26" t="s">
        <v>122</v>
      </c>
      <c r="D105" s="13">
        <v>463.57684399999999</v>
      </c>
      <c r="E105" s="13">
        <v>546.70218399999999</v>
      </c>
      <c r="F105" s="13">
        <v>562.14709200000004</v>
      </c>
      <c r="G105" s="13">
        <v>575.90198399999997</v>
      </c>
      <c r="H105" s="14">
        <f t="shared" si="9"/>
        <v>537.08202600000004</v>
      </c>
      <c r="I105" s="2">
        <f t="shared" si="8"/>
        <v>7.4089999999999998E-3</v>
      </c>
    </row>
    <row r="106" spans="1:9" x14ac:dyDescent="0.2">
      <c r="A106" s="26">
        <v>128</v>
      </c>
      <c r="B106" s="26" t="s">
        <v>171</v>
      </c>
      <c r="C106" s="26" t="s">
        <v>172</v>
      </c>
      <c r="D106" s="13">
        <v>188.25095999999999</v>
      </c>
      <c r="E106" s="13">
        <v>175.99480800000001</v>
      </c>
      <c r="F106" s="13">
        <v>188.03450000000001</v>
      </c>
      <c r="G106" s="13">
        <v>187.5864</v>
      </c>
      <c r="H106" s="14">
        <f t="shared" si="9"/>
        <v>184.966667</v>
      </c>
      <c r="I106" s="2">
        <f t="shared" si="8"/>
        <v>2.5515999999999998E-3</v>
      </c>
    </row>
    <row r="107" spans="1:9" x14ac:dyDescent="0.2">
      <c r="A107" s="26">
        <v>88</v>
      </c>
      <c r="B107" s="26" t="s">
        <v>123</v>
      </c>
      <c r="C107" s="26" t="s">
        <v>124</v>
      </c>
      <c r="D107" s="13">
        <v>42.642595999999998</v>
      </c>
      <c r="E107" s="13">
        <v>45.222988000000001</v>
      </c>
      <c r="F107" s="13">
        <v>40.405507999999998</v>
      </c>
      <c r="G107" s="13">
        <v>46.434460000000001</v>
      </c>
      <c r="H107" s="14">
        <f t="shared" si="9"/>
        <v>43.676388000000003</v>
      </c>
      <c r="I107" s="2">
        <f t="shared" si="8"/>
        <v>6.0249999999999995E-4</v>
      </c>
    </row>
    <row r="108" spans="1:9" x14ac:dyDescent="0.2">
      <c r="A108" s="26">
        <v>89</v>
      </c>
      <c r="B108" s="26" t="s">
        <v>221</v>
      </c>
      <c r="C108" s="26" t="s">
        <v>125</v>
      </c>
      <c r="D108" s="13">
        <v>73.252163999999993</v>
      </c>
      <c r="E108" s="13">
        <v>91.469543999999999</v>
      </c>
      <c r="F108" s="13">
        <v>84.241951999999998</v>
      </c>
      <c r="G108" s="13">
        <v>88.123071999999993</v>
      </c>
      <c r="H108" s="14">
        <f t="shared" si="9"/>
        <v>84.271682999999996</v>
      </c>
      <c r="I108" s="2">
        <f t="shared" si="8"/>
        <v>1.1624999999999999E-3</v>
      </c>
    </row>
    <row r="109" spans="1:9" x14ac:dyDescent="0.2">
      <c r="A109" s="26">
        <v>90</v>
      </c>
      <c r="B109" s="26" t="s">
        <v>222</v>
      </c>
      <c r="C109" s="26" t="s">
        <v>126</v>
      </c>
      <c r="D109" s="13">
        <v>69.550719999999998</v>
      </c>
      <c r="E109" s="13">
        <v>75.330280000000002</v>
      </c>
      <c r="F109" s="13">
        <v>93.033264000000003</v>
      </c>
      <c r="G109" s="13">
        <v>77.355220000000003</v>
      </c>
      <c r="H109" s="14">
        <f t="shared" si="9"/>
        <v>78.817371000000009</v>
      </c>
      <c r="I109" s="2">
        <f t="shared" si="8"/>
        <v>1.0873E-3</v>
      </c>
    </row>
    <row r="110" spans="1:9" x14ac:dyDescent="0.2">
      <c r="A110" s="26">
        <v>91</v>
      </c>
      <c r="B110" s="26" t="s">
        <v>127</v>
      </c>
      <c r="C110" s="26" t="s">
        <v>128</v>
      </c>
      <c r="D110" s="13">
        <v>307.08393599999999</v>
      </c>
      <c r="E110" s="13">
        <v>299.89161200000001</v>
      </c>
      <c r="F110" s="13">
        <v>308.27388400000001</v>
      </c>
      <c r="G110" s="13">
        <v>301.75011999999998</v>
      </c>
      <c r="H110" s="14">
        <f t="shared" si="9"/>
        <v>304.249888</v>
      </c>
      <c r="I110" s="2">
        <f t="shared" si="8"/>
        <v>4.1970999999999996E-3</v>
      </c>
    </row>
    <row r="111" spans="1:9" x14ac:dyDescent="0.2">
      <c r="A111" s="26">
        <v>158</v>
      </c>
      <c r="B111" s="26" t="s">
        <v>247</v>
      </c>
      <c r="C111" s="26" t="s">
        <v>189</v>
      </c>
      <c r="D111" s="13">
        <v>139.693568</v>
      </c>
      <c r="E111" s="13">
        <v>82.447236000000004</v>
      </c>
      <c r="F111" s="13">
        <v>87.837423999999999</v>
      </c>
      <c r="G111" s="13">
        <v>92.066515999999993</v>
      </c>
      <c r="H111" s="14">
        <f t="shared" ref="H111" si="10">AVERAGE(D111:G111)</f>
        <v>100.511186</v>
      </c>
      <c r="I111" s="2">
        <f t="shared" si="8"/>
        <v>1.3864999999999999E-3</v>
      </c>
    </row>
    <row r="112" spans="1:9" x14ac:dyDescent="0.2">
      <c r="A112" s="26">
        <v>2</v>
      </c>
      <c r="B112" s="26" t="s">
        <v>198</v>
      </c>
      <c r="C112" s="26" t="s">
        <v>3</v>
      </c>
      <c r="D112" s="13">
        <v>24667.665860000001</v>
      </c>
      <c r="E112" s="13">
        <v>26269.921052000002</v>
      </c>
      <c r="F112" s="13">
        <v>26160.386920000001</v>
      </c>
      <c r="G112" s="13">
        <v>26682.364408000001</v>
      </c>
      <c r="H112" s="14">
        <f t="shared" si="9"/>
        <v>25945.084560000003</v>
      </c>
      <c r="I112" s="2">
        <f t="shared" si="8"/>
        <v>0.35791099999999998</v>
      </c>
    </row>
    <row r="113" spans="1:9" x14ac:dyDescent="0.2">
      <c r="A113" s="26">
        <v>145</v>
      </c>
      <c r="B113" s="26" t="s">
        <v>183</v>
      </c>
      <c r="C113" s="26" t="s">
        <v>184</v>
      </c>
      <c r="D113" s="13">
        <v>5.5910440000000001</v>
      </c>
      <c r="E113" s="13">
        <v>6.35534</v>
      </c>
      <c r="F113" s="13">
        <v>5.6969519999999996</v>
      </c>
      <c r="G113" s="13">
        <v>5.7716799999999999</v>
      </c>
      <c r="H113" s="14">
        <f t="shared" si="9"/>
        <v>5.8537539999999995</v>
      </c>
      <c r="I113" s="2">
        <f t="shared" si="8"/>
        <v>8.0799999999999999E-5</v>
      </c>
    </row>
    <row r="114" spans="1:9" x14ac:dyDescent="0.2">
      <c r="A114" s="26">
        <v>210</v>
      </c>
      <c r="B114" s="26" t="s">
        <v>265</v>
      </c>
      <c r="C114" s="26" t="s">
        <v>266</v>
      </c>
      <c r="D114" s="15">
        <v>2.8503799999999999</v>
      </c>
      <c r="E114" s="15">
        <v>9.5612000000000003E-2</v>
      </c>
      <c r="F114" s="15">
        <v>0.124796</v>
      </c>
      <c r="G114" s="15">
        <v>1.9081399999999999</v>
      </c>
      <c r="H114" s="14">
        <f t="shared" si="9"/>
        <v>1.2447319999999999</v>
      </c>
      <c r="I114" s="2">
        <f t="shared" si="8"/>
        <v>1.7200000000000001E-5</v>
      </c>
    </row>
    <row r="115" spans="1:9" x14ac:dyDescent="0.2">
      <c r="A115" s="26">
        <v>92</v>
      </c>
      <c r="B115" s="26" t="s">
        <v>129</v>
      </c>
      <c r="C115" s="26" t="s">
        <v>130</v>
      </c>
      <c r="D115" s="13">
        <v>1484.3019999999999</v>
      </c>
      <c r="E115" s="13">
        <v>1582.307816</v>
      </c>
      <c r="F115" s="13">
        <v>1557.2081599999999</v>
      </c>
      <c r="G115" s="13">
        <v>1568.5979199999999</v>
      </c>
      <c r="H115" s="14">
        <f t="shared" si="9"/>
        <v>1548.1039740000001</v>
      </c>
      <c r="I115" s="2">
        <f t="shared" si="8"/>
        <v>2.1356E-2</v>
      </c>
    </row>
    <row r="116" spans="1:9" x14ac:dyDescent="0.2">
      <c r="A116" s="26">
        <v>148</v>
      </c>
      <c r="B116" s="26" t="s">
        <v>273</v>
      </c>
      <c r="C116" s="26" t="s">
        <v>274</v>
      </c>
      <c r="D116" s="15">
        <v>0.51999200000000001</v>
      </c>
      <c r="E116" s="15">
        <v>0.453872</v>
      </c>
      <c r="F116" s="15">
        <v>0.445328</v>
      </c>
      <c r="G116" s="15">
        <v>0.33273999999999998</v>
      </c>
      <c r="H116" s="14">
        <f t="shared" si="9"/>
        <v>0.43798300000000001</v>
      </c>
      <c r="I116" s="2">
        <f t="shared" si="8"/>
        <v>6.0000000000000002E-6</v>
      </c>
    </row>
    <row r="117" spans="1:9" x14ac:dyDescent="0.2">
      <c r="A117" s="26">
        <v>199</v>
      </c>
      <c r="B117" s="26" t="s">
        <v>249</v>
      </c>
      <c r="C117" s="26" t="s">
        <v>244</v>
      </c>
      <c r="D117" s="15">
        <v>58.660848000000001</v>
      </c>
      <c r="E117" s="15">
        <v>50.144896000000003</v>
      </c>
      <c r="F117" s="15">
        <v>49.926215999999997</v>
      </c>
      <c r="G117" s="15">
        <v>49.700096000000002</v>
      </c>
      <c r="H117" s="14">
        <f t="shared" si="9"/>
        <v>52.108014000000004</v>
      </c>
      <c r="I117" s="2">
        <f t="shared" si="8"/>
        <v>7.1880000000000002E-4</v>
      </c>
    </row>
    <row r="118" spans="1:9" x14ac:dyDescent="0.2">
      <c r="A118" s="26">
        <v>204</v>
      </c>
      <c r="B118" s="26" t="s">
        <v>256</v>
      </c>
      <c r="C118" s="26" t="s">
        <v>257</v>
      </c>
      <c r="D118" s="13">
        <v>5.6044280000000004</v>
      </c>
      <c r="E118" s="13">
        <v>3.5701520000000002</v>
      </c>
      <c r="F118" s="13">
        <v>8.4559999999999995</v>
      </c>
      <c r="G118" s="13">
        <v>4.2159440000000004</v>
      </c>
      <c r="H118" s="14">
        <f t="shared" si="9"/>
        <v>5.4616310000000006</v>
      </c>
      <c r="I118" s="2">
        <f t="shared" si="8"/>
        <v>7.5300000000000001E-5</v>
      </c>
    </row>
    <row r="119" spans="1:9" x14ac:dyDescent="0.2">
      <c r="A119" s="26">
        <v>203</v>
      </c>
      <c r="B119" s="26" t="s">
        <v>254</v>
      </c>
      <c r="C119" s="26" t="s">
        <v>255</v>
      </c>
      <c r="D119" s="15">
        <v>0</v>
      </c>
      <c r="E119" s="15">
        <v>0</v>
      </c>
      <c r="F119" s="13">
        <v>0</v>
      </c>
      <c r="G119" s="15">
        <v>0</v>
      </c>
      <c r="H119" s="14">
        <f t="shared" si="9"/>
        <v>0</v>
      </c>
      <c r="I119" s="2">
        <f t="shared" si="8"/>
        <v>0</v>
      </c>
    </row>
    <row r="120" spans="1:9" x14ac:dyDescent="0.2">
      <c r="A120" s="26">
        <v>94</v>
      </c>
      <c r="B120" s="26" t="s">
        <v>131</v>
      </c>
      <c r="C120" s="26" t="s">
        <v>132</v>
      </c>
      <c r="D120" s="15">
        <v>5.0246639999999996</v>
      </c>
      <c r="E120" s="15">
        <v>5.4881520000000004</v>
      </c>
      <c r="F120" s="15">
        <v>5.4826439999999996</v>
      </c>
      <c r="G120" s="15">
        <v>5.490856</v>
      </c>
      <c r="H120" s="14">
        <f t="shared" si="9"/>
        <v>5.3715790000000005</v>
      </c>
      <c r="I120" s="2">
        <f t="shared" si="8"/>
        <v>7.4099999999999999E-5</v>
      </c>
    </row>
    <row r="121" spans="1:9" x14ac:dyDescent="0.2">
      <c r="A121" s="26">
        <v>95</v>
      </c>
      <c r="B121" s="26" t="s">
        <v>133</v>
      </c>
      <c r="C121" s="26" t="s">
        <v>134</v>
      </c>
      <c r="D121" s="15">
        <v>145.06269599999999</v>
      </c>
      <c r="E121" s="15">
        <v>143.39447999999999</v>
      </c>
      <c r="F121" s="15">
        <v>149.89022399999999</v>
      </c>
      <c r="G121" s="15">
        <v>131.68968000000001</v>
      </c>
      <c r="H121" s="14">
        <f t="shared" si="9"/>
        <v>142.50927000000001</v>
      </c>
      <c r="I121" s="2">
        <f t="shared" si="8"/>
        <v>1.9659E-3</v>
      </c>
    </row>
    <row r="122" spans="1:9" x14ac:dyDescent="0.2">
      <c r="A122" s="26">
        <v>131</v>
      </c>
      <c r="B122" s="26" t="s">
        <v>173</v>
      </c>
      <c r="C122" s="26" t="s">
        <v>174</v>
      </c>
      <c r="D122" s="13">
        <v>0</v>
      </c>
      <c r="E122" s="15">
        <v>0</v>
      </c>
      <c r="F122" s="13">
        <v>0</v>
      </c>
      <c r="G122" s="13">
        <v>0</v>
      </c>
      <c r="H122" s="14">
        <f t="shared" si="9"/>
        <v>0</v>
      </c>
      <c r="I122" s="2">
        <f t="shared" si="8"/>
        <v>0</v>
      </c>
    </row>
    <row r="123" spans="1:9" x14ac:dyDescent="0.2">
      <c r="A123" s="26">
        <v>132</v>
      </c>
      <c r="B123" s="26" t="s">
        <v>175</v>
      </c>
      <c r="C123" s="26" t="s">
        <v>176</v>
      </c>
      <c r="D123" s="15">
        <v>40.540455999999999</v>
      </c>
      <c r="E123" s="15">
        <v>39.229512</v>
      </c>
      <c r="F123" s="15">
        <v>40.224936</v>
      </c>
      <c r="G123" s="15">
        <v>43.411895999999999</v>
      </c>
      <c r="H123" s="14">
        <f t="shared" si="9"/>
        <v>40.851700000000001</v>
      </c>
      <c r="I123" s="2">
        <f t="shared" si="8"/>
        <v>5.6349999999999998E-4</v>
      </c>
    </row>
    <row r="124" spans="1:9" x14ac:dyDescent="0.2">
      <c r="A124" s="26">
        <v>96</v>
      </c>
      <c r="B124" s="26" t="s">
        <v>135</v>
      </c>
      <c r="C124" s="26" t="s">
        <v>136</v>
      </c>
      <c r="D124" s="13">
        <v>76.043892</v>
      </c>
      <c r="E124" s="13">
        <v>74.109740000000002</v>
      </c>
      <c r="F124" s="13">
        <v>73.132540000000006</v>
      </c>
      <c r="G124" s="13">
        <v>79.864496000000003</v>
      </c>
      <c r="H124" s="14">
        <f t="shared" si="9"/>
        <v>75.787666999999999</v>
      </c>
      <c r="I124" s="2">
        <f t="shared" si="8"/>
        <v>1.0455E-3</v>
      </c>
    </row>
    <row r="125" spans="1:9" x14ac:dyDescent="0.2">
      <c r="A125" s="26">
        <v>134</v>
      </c>
      <c r="B125" s="26" t="s">
        <v>232</v>
      </c>
      <c r="C125" s="26" t="s">
        <v>177</v>
      </c>
      <c r="D125" s="15">
        <v>1.4994160000000001</v>
      </c>
      <c r="E125" s="15">
        <v>0.14446000000000001</v>
      </c>
      <c r="F125" s="15">
        <v>0.13467599999999999</v>
      </c>
      <c r="G125" s="15">
        <v>0.13791600000000001</v>
      </c>
      <c r="H125" s="14">
        <f t="shared" si="9"/>
        <v>0.47911700000000002</v>
      </c>
      <c r="I125" s="2">
        <f t="shared" si="8"/>
        <v>6.6000000000000003E-6</v>
      </c>
    </row>
    <row r="126" spans="1:9" x14ac:dyDescent="0.2">
      <c r="A126" s="26">
        <v>200</v>
      </c>
      <c r="B126" s="26" t="s">
        <v>245</v>
      </c>
      <c r="C126" s="26" t="s">
        <v>246</v>
      </c>
      <c r="D126" s="13">
        <v>0</v>
      </c>
      <c r="E126" s="13">
        <v>0</v>
      </c>
      <c r="F126" s="13">
        <v>0</v>
      </c>
      <c r="G126" s="13">
        <v>0</v>
      </c>
      <c r="H126" s="14">
        <f t="shared" si="9"/>
        <v>0</v>
      </c>
      <c r="I126" s="2">
        <f t="shared" si="8"/>
        <v>0</v>
      </c>
    </row>
    <row r="127" spans="1:9" x14ac:dyDescent="0.2">
      <c r="A127" s="26">
        <v>97</v>
      </c>
      <c r="B127" s="26" t="s">
        <v>137</v>
      </c>
      <c r="C127" s="26" t="s">
        <v>138</v>
      </c>
      <c r="D127" s="13">
        <v>32.787683999999999</v>
      </c>
      <c r="E127" s="13">
        <v>35.647103999999999</v>
      </c>
      <c r="F127" s="13">
        <v>33.693936000000001</v>
      </c>
      <c r="G127" s="13">
        <v>33.867919999999998</v>
      </c>
      <c r="H127" s="14">
        <f t="shared" si="9"/>
        <v>33.999161000000001</v>
      </c>
      <c r="I127" s="2">
        <f t="shared" si="8"/>
        <v>4.6900000000000002E-4</v>
      </c>
    </row>
    <row r="128" spans="1:9" x14ac:dyDescent="0.2">
      <c r="A128" s="26">
        <v>201</v>
      </c>
      <c r="B128" s="26" t="s">
        <v>252</v>
      </c>
      <c r="C128" s="26" t="s">
        <v>253</v>
      </c>
      <c r="D128" s="13">
        <v>0</v>
      </c>
      <c r="E128" s="13">
        <v>0</v>
      </c>
      <c r="F128" s="13">
        <v>0</v>
      </c>
      <c r="G128" s="13">
        <v>0</v>
      </c>
      <c r="H128" s="14">
        <f t="shared" si="9"/>
        <v>0</v>
      </c>
      <c r="I128" s="2">
        <f t="shared" si="8"/>
        <v>0</v>
      </c>
    </row>
    <row r="129" spans="1:9" x14ac:dyDescent="0.2">
      <c r="A129" s="26">
        <v>146</v>
      </c>
      <c r="B129" s="26" t="s">
        <v>185</v>
      </c>
      <c r="C129" s="26" t="s">
        <v>186</v>
      </c>
      <c r="D129" s="13">
        <v>65.960431999999997</v>
      </c>
      <c r="E129" s="13">
        <v>77.162180000000006</v>
      </c>
      <c r="F129" s="13">
        <v>74.858068000000003</v>
      </c>
      <c r="G129" s="13">
        <v>71.429124000000002</v>
      </c>
      <c r="H129" s="14">
        <f t="shared" si="9"/>
        <v>72.352451000000002</v>
      </c>
      <c r="I129" s="2">
        <f t="shared" si="8"/>
        <v>9.9810000000000003E-4</v>
      </c>
    </row>
    <row r="130" spans="1:9" x14ac:dyDescent="0.2">
      <c r="A130" s="26">
        <v>4</v>
      </c>
      <c r="B130" s="26" t="s">
        <v>4</v>
      </c>
      <c r="C130" s="26" t="s">
        <v>5</v>
      </c>
      <c r="D130" s="13">
        <v>1849.575284</v>
      </c>
      <c r="E130" s="13">
        <v>2030.6356760000001</v>
      </c>
      <c r="F130" s="13">
        <v>2009.486764</v>
      </c>
      <c r="G130" s="13">
        <v>1904.250368</v>
      </c>
      <c r="H130" s="14">
        <f t="shared" si="9"/>
        <v>1948.4870230000001</v>
      </c>
      <c r="I130" s="2">
        <f t="shared" si="8"/>
        <v>2.6879299999999998E-2</v>
      </c>
    </row>
    <row r="131" spans="1:9" x14ac:dyDescent="0.2">
      <c r="A131" s="26">
        <v>99</v>
      </c>
      <c r="B131" s="26" t="s">
        <v>223</v>
      </c>
      <c r="C131" s="26" t="s">
        <v>139</v>
      </c>
      <c r="D131" s="13">
        <v>636.94190000000003</v>
      </c>
      <c r="E131" s="13">
        <v>733.00225999999998</v>
      </c>
      <c r="F131" s="13">
        <v>701.73979999999995</v>
      </c>
      <c r="G131" s="13">
        <v>719.03624000000002</v>
      </c>
      <c r="H131" s="14">
        <f>AVERAGE(D131:G131)</f>
        <v>697.68004999999994</v>
      </c>
      <c r="I131" s="2">
        <f t="shared" si="8"/>
        <v>9.6244999999999994E-3</v>
      </c>
    </row>
    <row r="132" spans="1:9" x14ac:dyDescent="0.2">
      <c r="A132" s="26">
        <v>100</v>
      </c>
      <c r="B132" s="26" t="s">
        <v>224</v>
      </c>
      <c r="C132" s="26" t="s">
        <v>140</v>
      </c>
      <c r="D132" s="13">
        <v>279.526116</v>
      </c>
      <c r="E132" s="13">
        <v>308.50663600000001</v>
      </c>
      <c r="F132" s="13">
        <v>300.04152800000003</v>
      </c>
      <c r="G132" s="13">
        <v>316.29048799999998</v>
      </c>
      <c r="H132" s="14">
        <f>AVERAGE(D132:G132)</f>
        <v>301.09119199999998</v>
      </c>
      <c r="I132" s="2">
        <f t="shared" ref="I132:I137" si="11">ROUND(H132/H$143,7)</f>
        <v>4.1535000000000001E-3</v>
      </c>
    </row>
    <row r="133" spans="1:9" x14ac:dyDescent="0.2">
      <c r="A133" s="26">
        <v>176</v>
      </c>
      <c r="B133" s="26" t="s">
        <v>207</v>
      </c>
      <c r="C133" s="26" t="s">
        <v>203</v>
      </c>
      <c r="D133" s="13">
        <v>0.106172</v>
      </c>
      <c r="E133" s="13">
        <v>0.10212400000000001</v>
      </c>
      <c r="F133" s="13">
        <v>0.106216</v>
      </c>
      <c r="G133" s="13">
        <v>0.10620400000000001</v>
      </c>
      <c r="H133" s="14">
        <f>AVERAGE(D133:G133)</f>
        <v>0.10517900000000001</v>
      </c>
      <c r="I133" s="2">
        <f t="shared" si="11"/>
        <v>1.5E-6</v>
      </c>
    </row>
    <row r="134" spans="1:9" x14ac:dyDescent="0.2">
      <c r="A134" s="26">
        <v>214</v>
      </c>
      <c r="B134" s="26" t="s">
        <v>281</v>
      </c>
      <c r="C134" s="26" t="s">
        <v>282</v>
      </c>
      <c r="D134" s="13">
        <v>0.236844</v>
      </c>
      <c r="E134" s="13">
        <v>5.2654439999999996</v>
      </c>
      <c r="F134" s="13">
        <v>7.6106959999999999</v>
      </c>
      <c r="G134" s="13">
        <v>2.9042400000000002</v>
      </c>
      <c r="H134" s="14">
        <f>AVERAGE(D134:G134)</f>
        <v>4.0043059999999997</v>
      </c>
      <c r="I134" s="2">
        <f t="shared" si="11"/>
        <v>5.52E-5</v>
      </c>
    </row>
    <row r="135" spans="1:9" x14ac:dyDescent="0.2">
      <c r="A135" s="27">
        <v>102</v>
      </c>
      <c r="B135" s="27" t="s">
        <v>225</v>
      </c>
      <c r="C135" s="27" t="s">
        <v>141</v>
      </c>
      <c r="D135" s="13">
        <v>456.67954400000002</v>
      </c>
      <c r="E135" s="13">
        <v>498.21777600000001</v>
      </c>
      <c r="F135" s="13">
        <v>476.84519599999999</v>
      </c>
      <c r="G135" s="15">
        <v>489.94597199999998</v>
      </c>
      <c r="H135" s="14">
        <f>AVERAGE(D135:G135)</f>
        <v>480.422122</v>
      </c>
      <c r="I135" s="2">
        <f t="shared" si="11"/>
        <v>6.6274000000000003E-3</v>
      </c>
    </row>
    <row r="136" spans="1:9" x14ac:dyDescent="0.2">
      <c r="A136" s="27">
        <v>136</v>
      </c>
      <c r="B136" s="27" t="s">
        <v>233</v>
      </c>
      <c r="C136" s="27" t="s">
        <v>178</v>
      </c>
      <c r="D136" s="13">
        <v>106.198904</v>
      </c>
      <c r="E136" s="13">
        <v>110.052024</v>
      </c>
      <c r="F136" s="13">
        <v>112.002608</v>
      </c>
      <c r="G136" s="15">
        <v>106.66316</v>
      </c>
      <c r="H136" s="14">
        <f t="shared" ref="H136:H137" si="12">AVERAGE(D136:G136)</f>
        <v>108.729174</v>
      </c>
      <c r="I136" s="2">
        <f t="shared" si="11"/>
        <v>1.4999E-3</v>
      </c>
    </row>
    <row r="137" spans="1:9" x14ac:dyDescent="0.2">
      <c r="A137" s="27">
        <v>137</v>
      </c>
      <c r="B137" s="27" t="s">
        <v>179</v>
      </c>
      <c r="C137" s="27" t="s">
        <v>180</v>
      </c>
      <c r="D137" s="13">
        <v>83.381792000000004</v>
      </c>
      <c r="E137" s="13">
        <v>93.329988</v>
      </c>
      <c r="F137" s="13">
        <v>88.308583999999996</v>
      </c>
      <c r="G137" s="15">
        <v>91.365272000000004</v>
      </c>
      <c r="H137" s="14">
        <f t="shared" si="12"/>
        <v>89.096408999999994</v>
      </c>
      <c r="I137" s="2">
        <f t="shared" si="11"/>
        <v>1.2290999999999999E-3</v>
      </c>
    </row>
    <row r="138" spans="1:9" x14ac:dyDescent="0.2">
      <c r="A138" s="27">
        <v>153</v>
      </c>
      <c r="B138" s="27" t="s">
        <v>187</v>
      </c>
      <c r="C138" s="27" t="s">
        <v>188</v>
      </c>
      <c r="D138" s="13">
        <v>0.67769999999999997</v>
      </c>
      <c r="E138" s="13">
        <v>0.66861599999999999</v>
      </c>
      <c r="F138" s="13">
        <v>0.70150800000000002</v>
      </c>
      <c r="G138" s="15">
        <v>0.76123200000000002</v>
      </c>
      <c r="H138" s="14">
        <f t="shared" ref="H138:H141" si="13">AVERAGE(D138:G138)</f>
        <v>0.702264</v>
      </c>
      <c r="I138" s="2">
        <f t="shared" ref="I138:I141" si="14">ROUND(H138/H$143,7)</f>
        <v>9.7000000000000003E-6</v>
      </c>
    </row>
    <row r="139" spans="1:9" x14ac:dyDescent="0.2">
      <c r="A139" s="27">
        <v>138</v>
      </c>
      <c r="B139" s="27" t="s">
        <v>234</v>
      </c>
      <c r="C139" s="27" t="s">
        <v>181</v>
      </c>
      <c r="D139" s="13">
        <v>36.197360000000003</v>
      </c>
      <c r="E139" s="13">
        <v>37.480884000000003</v>
      </c>
      <c r="F139" s="13">
        <v>37.516255999999998</v>
      </c>
      <c r="G139" s="15">
        <v>37.185200000000002</v>
      </c>
      <c r="H139" s="14">
        <f t="shared" si="13"/>
        <v>37.094925000000003</v>
      </c>
      <c r="I139" s="2">
        <f t="shared" si="14"/>
        <v>5.1170000000000002E-4</v>
      </c>
    </row>
    <row r="140" spans="1:9" x14ac:dyDescent="0.2">
      <c r="A140" s="27">
        <v>103</v>
      </c>
      <c r="B140" s="27" t="s">
        <v>226</v>
      </c>
      <c r="C140" s="27" t="s">
        <v>142</v>
      </c>
      <c r="D140" s="13">
        <v>111.62962</v>
      </c>
      <c r="E140" s="13">
        <v>128.42990800000001</v>
      </c>
      <c r="F140" s="13">
        <v>118.759428</v>
      </c>
      <c r="G140" s="15">
        <v>125.22405999999999</v>
      </c>
      <c r="H140" s="14">
        <f t="shared" si="13"/>
        <v>121.01075400000001</v>
      </c>
      <c r="I140" s="2">
        <f t="shared" si="14"/>
        <v>1.6693000000000001E-3</v>
      </c>
    </row>
    <row r="141" spans="1:9" x14ac:dyDescent="0.2">
      <c r="A141" s="27">
        <v>168</v>
      </c>
      <c r="B141" s="27" t="s">
        <v>194</v>
      </c>
      <c r="C141" s="27" t="s">
        <v>195</v>
      </c>
      <c r="D141" s="13">
        <v>7.7584E-2</v>
      </c>
      <c r="E141" s="13">
        <v>9.8040000000000002E-2</v>
      </c>
      <c r="F141" s="13">
        <v>8.9875999999999998E-2</v>
      </c>
      <c r="G141" s="15">
        <v>9.8035999999999998E-2</v>
      </c>
      <c r="H141" s="14">
        <f t="shared" si="13"/>
        <v>9.0884000000000006E-2</v>
      </c>
      <c r="I141" s="2">
        <f t="shared" si="14"/>
        <v>1.3E-6</v>
      </c>
    </row>
    <row r="142" spans="1:9" x14ac:dyDescent="0.2">
      <c r="A142" s="10"/>
      <c r="B142" s="11"/>
      <c r="C142" s="11"/>
      <c r="D142" s="12"/>
      <c r="E142" s="12"/>
      <c r="F142" s="12"/>
      <c r="G142" s="12"/>
      <c r="H142" s="12"/>
      <c r="I142" s="2"/>
    </row>
    <row r="143" spans="1:9" ht="15.75" x14ac:dyDescent="0.25">
      <c r="A143" s="27"/>
      <c r="B143" s="28" t="s">
        <v>190</v>
      </c>
      <c r="C143" s="29"/>
      <c r="D143" s="30">
        <f>ROUND(SUM(D4:D141),6)</f>
        <v>70393.637447999994</v>
      </c>
      <c r="E143" s="30">
        <f t="shared" ref="E143:F143" si="15">ROUND(SUM(E4:E141),6)</f>
        <v>73305.140020000006</v>
      </c>
      <c r="F143" s="30">
        <f t="shared" si="15"/>
        <v>73822.003983999995</v>
      </c>
      <c r="G143" s="30">
        <f>ROUND(SUM(G4:G141),6)</f>
        <v>72440.519555999999</v>
      </c>
      <c r="H143" s="30">
        <f>ROUND(SUM(H4:H141),6)</f>
        <v>72490.325251999995</v>
      </c>
      <c r="I143" s="31">
        <f>ROUND(SUM(I4:I141),5)</f>
        <v>1</v>
      </c>
    </row>
    <row r="144" spans="1:9" x14ac:dyDescent="0.2">
      <c r="A144" s="3"/>
      <c r="B144" s="9" t="s">
        <v>248</v>
      </c>
      <c r="C144" s="4"/>
      <c r="D144" s="3"/>
    </row>
    <row r="145" spans="1:9" x14ac:dyDescent="0.2">
      <c r="I145" s="17"/>
    </row>
    <row r="146" spans="1:9" x14ac:dyDescent="0.2">
      <c r="A146" s="21"/>
    </row>
    <row r="147" spans="1:9" x14ac:dyDescent="0.2">
      <c r="A147" s="18"/>
      <c r="B147" s="19"/>
      <c r="C147" s="19"/>
      <c r="D147" s="20"/>
    </row>
  </sheetData>
  <mergeCells count="2">
    <mergeCell ref="A1:I1"/>
    <mergeCell ref="A2:I2"/>
  </mergeCells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 4CP CALCULATION</vt:lpstr>
    </vt:vector>
  </TitlesOfParts>
  <Company>ERCOT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bburr</dc:creator>
  <cp:lastModifiedBy>Roberts, Randy</cp:lastModifiedBy>
  <dcterms:created xsi:type="dcterms:W3CDTF">2006-11-27T20:43:52Z</dcterms:created>
  <dcterms:modified xsi:type="dcterms:W3CDTF">2021-11-29T16:36:52Z</dcterms:modified>
</cp:coreProperties>
</file>